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S\INFLOW &amp; OUTFLOW\"/>
    </mc:Choice>
  </mc:AlternateContent>
  <xr:revisionPtr revIDLastSave="0" documentId="13_ncr:1_{2F620457-3B5A-42C3-AE7F-345CC2E538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UT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1" l="1"/>
  <c r="G37" i="1" s="1"/>
  <c r="H33" i="1"/>
  <c r="I13" i="1"/>
  <c r="G36" i="1" s="1"/>
  <c r="G38" i="1" s="1"/>
  <c r="H1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</calcChain>
</file>

<file path=xl/sharedStrings.xml><?xml version="1.0" encoding="utf-8"?>
<sst xmlns="http://schemas.openxmlformats.org/spreadsheetml/2006/main" count="162" uniqueCount="112">
  <si>
    <t>Doc.</t>
  </si>
  <si>
    <t>Document</t>
  </si>
  <si>
    <t xml:space="preserve">Bill                          </t>
  </si>
  <si>
    <t xml:space="preserve">Bill      </t>
  </si>
  <si>
    <t xml:space="preserve">    Document</t>
  </si>
  <si>
    <t xml:space="preserve">     Pending</t>
  </si>
  <si>
    <t>Type</t>
  </si>
  <si>
    <t xml:space="preserve">Number  </t>
  </si>
  <si>
    <t xml:space="preserve">Date      </t>
  </si>
  <si>
    <t xml:space="preserve">No.                           </t>
  </si>
  <si>
    <t xml:space="preserve">Due Date     </t>
  </si>
  <si>
    <t xml:space="preserve"> Cr period</t>
  </si>
  <si>
    <t xml:space="preserve">Item Description         </t>
  </si>
  <si>
    <t xml:space="preserve">Name of Party                 </t>
  </si>
  <si>
    <t xml:space="preserve">      Amount</t>
  </si>
  <si>
    <t>PUR</t>
  </si>
  <si>
    <t>020802</t>
  </si>
  <si>
    <t>S/23-24/008</t>
  </si>
  <si>
    <t>TETRA HYDRO FURAN</t>
  </si>
  <si>
    <t>SATGURU CHEMICALS INDIA</t>
  </si>
  <si>
    <t>090202</t>
  </si>
  <si>
    <t>MRL/D/23-24/0068</t>
  </si>
  <si>
    <t>THIOPHOSGENE</t>
  </si>
  <si>
    <t>MOLTUS RESEARCH LABORATORIES</t>
  </si>
  <si>
    <t>180601</t>
  </si>
  <si>
    <t>150501</t>
  </si>
  <si>
    <t>NCM026493</t>
  </si>
  <si>
    <t>ETHYL ACETATE</t>
  </si>
  <si>
    <t>NEHA CHEMICALS</t>
  </si>
  <si>
    <t>160501</t>
  </si>
  <si>
    <t>MAH001113</t>
  </si>
  <si>
    <t>ORTHO XYLENE</t>
  </si>
  <si>
    <t>SARASWATI CHEMICAL CORPORATION.</t>
  </si>
  <si>
    <t>210501</t>
  </si>
  <si>
    <t>S00455</t>
  </si>
  <si>
    <t>PARA TOLUENE SULPHONYL CHLORIDE</t>
  </si>
  <si>
    <t>SPARCHEM</t>
  </si>
  <si>
    <t>250501</t>
  </si>
  <si>
    <t>D02843</t>
  </si>
  <si>
    <t>MIX XYLENE</t>
  </si>
  <si>
    <t>SANJAY CHEMICALS (INDIA) PVT.LTD.</t>
  </si>
  <si>
    <t>250502</t>
  </si>
  <si>
    <t>000390</t>
  </si>
  <si>
    <t>NITRO BENZENE</t>
  </si>
  <si>
    <t>NILESH ENTERPRISES</t>
  </si>
  <si>
    <t>280502</t>
  </si>
  <si>
    <t>24-25/0343</t>
  </si>
  <si>
    <t>1 BROMO 3 CHLORO PROPANE</t>
  </si>
  <si>
    <t>K.UTTAMLAL &amp; COMPANY</t>
  </si>
  <si>
    <t>280503</t>
  </si>
  <si>
    <t>PVPL0132/24-25</t>
  </si>
  <si>
    <t>POTASSIUM CARBONATE POWDER</t>
  </si>
  <si>
    <t>PRAFUL VENTURE PVT LTD.</t>
  </si>
  <si>
    <t>280501</t>
  </si>
  <si>
    <t>000463</t>
  </si>
  <si>
    <t>N.BUTANOL</t>
  </si>
  <si>
    <t>METRO CHEM CORPORATION</t>
  </si>
  <si>
    <t>270501</t>
  </si>
  <si>
    <t>000399</t>
  </si>
  <si>
    <t>270502</t>
  </si>
  <si>
    <t>D02931</t>
  </si>
  <si>
    <t>050701</t>
  </si>
  <si>
    <t>OMPL/0044/24-25</t>
  </si>
  <si>
    <t>N-butyllithium 1.6M in hexane</t>
  </si>
  <si>
    <t>Organometallics Pvt Ltd</t>
  </si>
  <si>
    <t>ACETONE</t>
  </si>
  <si>
    <t>060601</t>
  </si>
  <si>
    <t>MUM000281</t>
  </si>
  <si>
    <t>SONKAMAL ENTERPRISES PVT.LTD.</t>
  </si>
  <si>
    <t>070601</t>
  </si>
  <si>
    <t>110/24-25</t>
  </si>
  <si>
    <t>ACETYL CHLORIDE</t>
  </si>
  <si>
    <t>SIMA PRODUCTS</t>
  </si>
  <si>
    <t>070602</t>
  </si>
  <si>
    <t>001550</t>
  </si>
  <si>
    <t>SODIUM THIOSULFATE PENTAHYDRATE</t>
  </si>
  <si>
    <t>H.M. DYE CHEM</t>
  </si>
  <si>
    <t>070604</t>
  </si>
  <si>
    <t>MUM/0425/24-25</t>
  </si>
  <si>
    <t>DI METHYL FORMAMIDE</t>
  </si>
  <si>
    <t>ARYANN CHEMICAL TRADING PVT LTD.</t>
  </si>
  <si>
    <t>080601</t>
  </si>
  <si>
    <t>406057</t>
  </si>
  <si>
    <t>N.HEPTANE</t>
  </si>
  <si>
    <t>NISHA CHEMICALS</t>
  </si>
  <si>
    <t>100601</t>
  </si>
  <si>
    <t>G-SUP/24-25/0074</t>
  </si>
  <si>
    <t>GATIK SYNTHESIS LLP</t>
  </si>
  <si>
    <t>110601</t>
  </si>
  <si>
    <t>SVSH/381/24-25</t>
  </si>
  <si>
    <t>DIMETHYL AMINE HYDROCHLORIDE</t>
  </si>
  <si>
    <t>SVS SOURCINGS PVT. LTD</t>
  </si>
  <si>
    <t>110602</t>
  </si>
  <si>
    <t>SVSH/382/24-25</t>
  </si>
  <si>
    <t>MORPHOLINE</t>
  </si>
  <si>
    <t>140601</t>
  </si>
  <si>
    <t>M04009</t>
  </si>
  <si>
    <t>CYCLOHEXANE</t>
  </si>
  <si>
    <t>R R INNOVATIVE PRIVATE LIMITED</t>
  </si>
  <si>
    <t>180701</t>
  </si>
  <si>
    <t>000035</t>
  </si>
  <si>
    <t>SODIUM BI SULFITE</t>
  </si>
  <si>
    <t>P P ENTERPRISE</t>
  </si>
  <si>
    <t>SIIPL/24-25/382</t>
  </si>
  <si>
    <t>25% SODIUM METHOXIDE IN METHANOL</t>
  </si>
  <si>
    <t>SURABHI INDUSTRIES INDIA PVT LTD</t>
  </si>
  <si>
    <t>LIDO</t>
  </si>
  <si>
    <t>DUE DATE</t>
  </si>
  <si>
    <t>SUPPLIER PARTY</t>
  </si>
  <si>
    <t>MARKET PARTY</t>
  </si>
  <si>
    <t>LIDO - OUTFLOW - AUG 24</t>
  </si>
  <si>
    <t xml:space="preserve">TOTAL OUTFLOW - LIDO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</si>
</sst>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right"/>
    </xf>
    <xf numFmtId="0" fontId="3" fillId="0" borderId="0" xfId="0" applyFont="1"/>
    <xf numFmtId="49" fontId="2" fillId="0" borderId="2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right"/>
    </xf>
    <xf numFmtId="0" fontId="3" fillId="0" borderId="1" xfId="0" applyFont="1" applyBorder="1"/>
    <xf numFmtId="14" fontId="0" fillId="0" borderId="1" xfId="0" applyNumberFormat="1" applyBorder="1"/>
    <xf numFmtId="0" fontId="3" fillId="0" borderId="5" xfId="0" applyFont="1" applyBorder="1"/>
    <xf numFmtId="0" fontId="0" fillId="0" borderId="4" xfId="0" applyBorder="1"/>
    <xf numFmtId="14" fontId="0" fillId="0" borderId="6" xfId="0" applyNumberFormat="1" applyBorder="1"/>
    <xf numFmtId="0" fontId="1" fillId="0" borderId="5" xfId="0" applyFont="1" applyBorder="1" applyAlignment="1">
      <alignment horizontal="left"/>
    </xf>
    <xf numFmtId="1" fontId="1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14" fontId="1" fillId="0" borderId="5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4" fontId="1" fillId="0" borderId="8" xfId="0" applyNumberFormat="1" applyFont="1" applyBorder="1" applyAlignment="1">
      <alignment horizontal="left"/>
    </xf>
    <xf numFmtId="1" fontId="1" fillId="0" borderId="9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1" fontId="1" fillId="0" borderId="8" xfId="0" applyNumberFormat="1" applyFont="1" applyBorder="1" applyAlignment="1">
      <alignment horizontal="right"/>
    </xf>
    <xf numFmtId="0" fontId="0" fillId="0" borderId="10" xfId="0" applyBorder="1"/>
    <xf numFmtId="0" fontId="2" fillId="0" borderId="1" xfId="0" applyFont="1" applyBorder="1" applyAlignment="1">
      <alignment horizontal="left"/>
    </xf>
    <xf numFmtId="43" fontId="1" fillId="0" borderId="5" xfId="1" applyFont="1" applyBorder="1" applyAlignment="1">
      <alignment horizontal="right"/>
    </xf>
    <xf numFmtId="43" fontId="2" fillId="0" borderId="3" xfId="1" applyFont="1" applyBorder="1" applyAlignment="1">
      <alignment horizontal="right"/>
    </xf>
    <xf numFmtId="43" fontId="2" fillId="0" borderId="2" xfId="1" applyFont="1" applyBorder="1" applyAlignment="1">
      <alignment horizontal="right"/>
    </xf>
    <xf numFmtId="43" fontId="1" fillId="0" borderId="1" xfId="1" applyFont="1" applyBorder="1" applyAlignment="1">
      <alignment horizontal="right"/>
    </xf>
    <xf numFmtId="43" fontId="1" fillId="0" borderId="2" xfId="1" applyFont="1" applyBorder="1" applyAlignment="1">
      <alignment horizontal="right"/>
    </xf>
    <xf numFmtId="43" fontId="2" fillId="0" borderId="8" xfId="1" applyFont="1" applyBorder="1" applyAlignment="1">
      <alignment horizontal="right"/>
    </xf>
    <xf numFmtId="43" fontId="1" fillId="0" borderId="1" xfId="1" applyFont="1" applyBorder="1" applyAlignment="1">
      <alignment horizontal="left"/>
    </xf>
    <xf numFmtId="43" fontId="2" fillId="0" borderId="1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15" workbookViewId="0">
      <selection activeCell="G26" sqref="G26"/>
    </sheetView>
  </sheetViews>
  <sheetFormatPr defaultRowHeight="14.4" x14ac:dyDescent="0.3"/>
  <cols>
    <col min="1" max="1" width="5.21875" style="1" bestFit="1" customWidth="1"/>
    <col min="2" max="2" width="9.88671875" style="1" bestFit="1" customWidth="1"/>
    <col min="3" max="3" width="10.109375" style="1" bestFit="1" customWidth="1"/>
    <col min="4" max="4" width="19.21875" style="1" bestFit="1" customWidth="1"/>
    <col min="5" max="5" width="10.109375" style="1" bestFit="1" customWidth="1"/>
    <col min="6" max="6" width="36.44140625" style="1" bestFit="1" customWidth="1"/>
    <col min="7" max="7" width="36.6640625" style="1" bestFit="1" customWidth="1"/>
    <col min="8" max="9" width="12.77734375" style="37" bestFit="1" customWidth="1"/>
    <col min="10" max="10" width="11.77734375" style="1" bestFit="1" customWidth="1"/>
    <col min="11" max="11" width="9.77734375" style="2" bestFit="1" customWidth="1"/>
    <col min="12" max="12" width="10.5546875" bestFit="1" customWidth="1"/>
  </cols>
  <sheetData>
    <row r="1" spans="1:12" ht="15" thickBot="1" x14ac:dyDescent="0.35">
      <c r="A1" s="21" t="s">
        <v>108</v>
      </c>
      <c r="B1" s="19"/>
      <c r="C1" s="19"/>
      <c r="D1" s="19"/>
      <c r="E1" s="19"/>
      <c r="F1" s="19"/>
      <c r="G1" s="19"/>
      <c r="H1" s="34"/>
      <c r="I1" s="34"/>
      <c r="J1" s="19"/>
      <c r="K1" s="20"/>
    </row>
    <row r="2" spans="1:12" s="11" customFormat="1" x14ac:dyDescent="0.3">
      <c r="A2" s="8" t="s">
        <v>0</v>
      </c>
      <c r="B2" s="8" t="s">
        <v>1</v>
      </c>
      <c r="C2" s="9"/>
      <c r="D2" s="8" t="s">
        <v>2</v>
      </c>
      <c r="E2" s="8" t="s">
        <v>3</v>
      </c>
      <c r="F2" s="9"/>
      <c r="G2" s="9"/>
      <c r="H2" s="35" t="s">
        <v>4</v>
      </c>
      <c r="I2" s="35" t="s">
        <v>5</v>
      </c>
      <c r="J2" s="9"/>
      <c r="K2" s="10"/>
    </row>
    <row r="3" spans="1:12" s="11" customFormat="1" x14ac:dyDescent="0.3">
      <c r="A3" s="12" t="s">
        <v>6</v>
      </c>
      <c r="B3" s="12" t="s">
        <v>7</v>
      </c>
      <c r="C3" s="12" t="s">
        <v>8</v>
      </c>
      <c r="D3" s="12" t="s">
        <v>9</v>
      </c>
      <c r="E3" s="12" t="s">
        <v>8</v>
      </c>
      <c r="F3" s="12" t="s">
        <v>13</v>
      </c>
      <c r="G3" s="12" t="s">
        <v>12</v>
      </c>
      <c r="H3" s="36" t="s">
        <v>14</v>
      </c>
      <c r="I3" s="36" t="s">
        <v>14</v>
      </c>
      <c r="J3" s="12" t="s">
        <v>10</v>
      </c>
      <c r="K3" s="13" t="s">
        <v>11</v>
      </c>
    </row>
    <row r="4" spans="1:12" x14ac:dyDescent="0.3">
      <c r="A4" s="4" t="s">
        <v>15</v>
      </c>
      <c r="B4" s="4" t="s">
        <v>16</v>
      </c>
      <c r="C4" s="6">
        <v>45140</v>
      </c>
      <c r="D4" s="4" t="s">
        <v>17</v>
      </c>
      <c r="E4" s="6">
        <v>45140</v>
      </c>
      <c r="F4" s="4" t="s">
        <v>19</v>
      </c>
      <c r="G4" s="4" t="s">
        <v>18</v>
      </c>
      <c r="H4" s="37">
        <v>2776492.8</v>
      </c>
      <c r="I4" s="37">
        <v>1074139.8</v>
      </c>
      <c r="J4" s="6">
        <v>45200</v>
      </c>
      <c r="K4" s="2">
        <v>60</v>
      </c>
    </row>
    <row r="5" spans="1:12" x14ac:dyDescent="0.3">
      <c r="A5" s="4" t="s">
        <v>15</v>
      </c>
      <c r="B5" s="4" t="s">
        <v>20</v>
      </c>
      <c r="C5" s="6">
        <v>45331</v>
      </c>
      <c r="D5" s="4" t="s">
        <v>21</v>
      </c>
      <c r="E5" s="6">
        <v>45330</v>
      </c>
      <c r="F5" s="4" t="s">
        <v>23</v>
      </c>
      <c r="G5" s="4" t="s">
        <v>22</v>
      </c>
      <c r="H5" s="37">
        <v>221250</v>
      </c>
      <c r="I5" s="37">
        <v>221062</v>
      </c>
      <c r="J5" s="6">
        <v>45330</v>
      </c>
    </row>
    <row r="6" spans="1:12" x14ac:dyDescent="0.3">
      <c r="A6" s="4" t="s">
        <v>15</v>
      </c>
      <c r="B6" s="4" t="s">
        <v>61</v>
      </c>
      <c r="C6" s="6">
        <v>45478</v>
      </c>
      <c r="D6" s="4" t="s">
        <v>62</v>
      </c>
      <c r="E6" s="6">
        <v>45469</v>
      </c>
      <c r="F6" s="4" t="s">
        <v>64</v>
      </c>
      <c r="G6" s="4" t="s">
        <v>63</v>
      </c>
      <c r="H6" s="37">
        <v>32450</v>
      </c>
      <c r="I6" s="37">
        <v>32422</v>
      </c>
      <c r="J6" s="6">
        <v>45499</v>
      </c>
      <c r="K6" s="2">
        <v>30</v>
      </c>
    </row>
    <row r="7" spans="1:12" x14ac:dyDescent="0.3">
      <c r="A7" s="4" t="s">
        <v>15</v>
      </c>
      <c r="B7" s="4" t="s">
        <v>69</v>
      </c>
      <c r="C7" s="6">
        <v>45450</v>
      </c>
      <c r="D7" s="4" t="s">
        <v>70</v>
      </c>
      <c r="E7" s="6">
        <v>45448</v>
      </c>
      <c r="F7" s="4" t="s">
        <v>72</v>
      </c>
      <c r="G7" s="4" t="s">
        <v>71</v>
      </c>
      <c r="H7" s="37">
        <v>6608</v>
      </c>
      <c r="I7" s="37">
        <v>6602</v>
      </c>
      <c r="J7" s="6">
        <v>45508</v>
      </c>
      <c r="K7" s="2">
        <v>60</v>
      </c>
    </row>
    <row r="8" spans="1:12" x14ac:dyDescent="0.3">
      <c r="A8" s="4" t="s">
        <v>15</v>
      </c>
      <c r="B8" s="4" t="s">
        <v>85</v>
      </c>
      <c r="C8" s="6">
        <v>45453</v>
      </c>
      <c r="D8" s="4" t="s">
        <v>86</v>
      </c>
      <c r="E8" s="6">
        <v>45453</v>
      </c>
      <c r="F8" s="4" t="s">
        <v>87</v>
      </c>
      <c r="G8" s="4" t="s">
        <v>18</v>
      </c>
      <c r="H8" s="37">
        <v>1816028</v>
      </c>
      <c r="I8" s="37">
        <v>1814489</v>
      </c>
      <c r="J8" s="6">
        <v>45513</v>
      </c>
      <c r="K8" s="2">
        <v>60</v>
      </c>
    </row>
    <row r="9" spans="1:12" x14ac:dyDescent="0.3">
      <c r="A9" s="4" t="s">
        <v>15</v>
      </c>
      <c r="B9" s="4" t="s">
        <v>88</v>
      </c>
      <c r="C9" s="6">
        <v>45454</v>
      </c>
      <c r="D9" s="4" t="s">
        <v>89</v>
      </c>
      <c r="E9" s="6">
        <v>45454</v>
      </c>
      <c r="F9" s="4" t="s">
        <v>91</v>
      </c>
      <c r="G9" s="4" t="s">
        <v>90</v>
      </c>
      <c r="H9" s="37">
        <v>40710</v>
      </c>
      <c r="I9" s="37">
        <v>40675</v>
      </c>
      <c r="J9" s="6">
        <v>45514</v>
      </c>
      <c r="K9" s="2">
        <v>60</v>
      </c>
    </row>
    <row r="10" spans="1:12" x14ac:dyDescent="0.3">
      <c r="A10" s="4" t="s">
        <v>15</v>
      </c>
      <c r="B10" s="4" t="s">
        <v>92</v>
      </c>
      <c r="C10" s="6">
        <v>45454</v>
      </c>
      <c r="D10" s="4" t="s">
        <v>93</v>
      </c>
      <c r="E10" s="6">
        <v>45454</v>
      </c>
      <c r="F10" s="4" t="s">
        <v>91</v>
      </c>
      <c r="G10" s="4" t="s">
        <v>94</v>
      </c>
      <c r="H10" s="37">
        <v>40828</v>
      </c>
      <c r="I10" s="37">
        <v>40793</v>
      </c>
      <c r="J10" s="6">
        <v>45514</v>
      </c>
      <c r="K10" s="2">
        <v>60</v>
      </c>
    </row>
    <row r="11" spans="1:12" x14ac:dyDescent="0.3">
      <c r="A11" s="4" t="s">
        <v>15</v>
      </c>
      <c r="B11" s="4" t="s">
        <v>24</v>
      </c>
      <c r="C11" s="6">
        <v>45461</v>
      </c>
      <c r="D11" s="4" t="s">
        <v>103</v>
      </c>
      <c r="E11" s="6">
        <v>45461</v>
      </c>
      <c r="F11" s="4" t="s">
        <v>105</v>
      </c>
      <c r="G11" s="4" t="s">
        <v>104</v>
      </c>
      <c r="H11" s="37">
        <v>64192</v>
      </c>
      <c r="I11" s="37">
        <v>64138</v>
      </c>
      <c r="J11" s="6">
        <v>45521</v>
      </c>
      <c r="K11" s="2">
        <v>60</v>
      </c>
    </row>
    <row r="12" spans="1:12" ht="15" thickBot="1" x14ac:dyDescent="0.35">
      <c r="A12" s="5" t="s">
        <v>15</v>
      </c>
      <c r="B12" s="5" t="s">
        <v>99</v>
      </c>
      <c r="C12" s="7">
        <v>45491</v>
      </c>
      <c r="D12" s="5" t="s">
        <v>100</v>
      </c>
      <c r="E12" s="7">
        <v>45490</v>
      </c>
      <c r="F12" s="5" t="s">
        <v>102</v>
      </c>
      <c r="G12" s="5" t="s">
        <v>101</v>
      </c>
      <c r="H12" s="38">
        <v>44250</v>
      </c>
      <c r="I12" s="38">
        <v>44212</v>
      </c>
      <c r="J12" s="7">
        <v>45520</v>
      </c>
      <c r="K12" s="3">
        <v>30</v>
      </c>
    </row>
    <row r="13" spans="1:12" ht="15" thickBot="1" x14ac:dyDescent="0.35">
      <c r="A13" s="25"/>
      <c r="B13" s="26"/>
      <c r="C13" s="27"/>
      <c r="D13" s="26"/>
      <c r="E13" s="27"/>
      <c r="F13" s="26"/>
      <c r="G13" s="26"/>
      <c r="H13" s="39">
        <f>SUM(H4:H12)</f>
        <v>5042808.8</v>
      </c>
      <c r="I13" s="39">
        <f>SUM(I4:I12)</f>
        <v>3338532.8</v>
      </c>
      <c r="J13" s="27"/>
      <c r="K13" s="28"/>
    </row>
    <row r="14" spans="1:12" x14ac:dyDescent="0.3">
      <c r="A14" s="23"/>
      <c r="B14" s="23"/>
      <c r="C14" s="24"/>
      <c r="D14" s="23"/>
      <c r="E14" s="24"/>
      <c r="F14" s="23"/>
      <c r="G14" s="23"/>
      <c r="H14" s="34"/>
      <c r="I14" s="34"/>
      <c r="J14" s="24"/>
      <c r="K14" s="20"/>
    </row>
    <row r="15" spans="1:12" ht="15" thickBot="1" x14ac:dyDescent="0.35">
      <c r="A15" s="22" t="s">
        <v>109</v>
      </c>
      <c r="B15" s="4"/>
      <c r="C15" s="6"/>
      <c r="D15" s="4"/>
      <c r="E15" s="6"/>
      <c r="F15" s="4"/>
      <c r="G15" s="4"/>
      <c r="J15" s="6"/>
      <c r="L15" s="17"/>
    </row>
    <row r="16" spans="1:12" s="11" customFormat="1" x14ac:dyDescent="0.3">
      <c r="A16" s="8" t="s">
        <v>0</v>
      </c>
      <c r="B16" s="8" t="s">
        <v>1</v>
      </c>
      <c r="C16" s="9"/>
      <c r="D16" s="8" t="s">
        <v>2</v>
      </c>
      <c r="E16" s="8" t="s">
        <v>3</v>
      </c>
      <c r="F16" s="9"/>
      <c r="G16" s="9"/>
      <c r="H16" s="35" t="s">
        <v>4</v>
      </c>
      <c r="I16" s="35" t="s">
        <v>5</v>
      </c>
      <c r="J16" s="9"/>
      <c r="K16" s="10"/>
      <c r="L16" s="16" t="s">
        <v>106</v>
      </c>
    </row>
    <row r="17" spans="1:12" s="11" customFormat="1" x14ac:dyDescent="0.3">
      <c r="A17" s="12" t="s">
        <v>6</v>
      </c>
      <c r="B17" s="12" t="s">
        <v>7</v>
      </c>
      <c r="C17" s="12" t="s">
        <v>8</v>
      </c>
      <c r="D17" s="12" t="s">
        <v>9</v>
      </c>
      <c r="E17" s="12" t="s">
        <v>8</v>
      </c>
      <c r="F17" s="12" t="s">
        <v>13</v>
      </c>
      <c r="G17" s="12" t="s">
        <v>12</v>
      </c>
      <c r="H17" s="36" t="s">
        <v>14</v>
      </c>
      <c r="I17" s="36" t="s">
        <v>14</v>
      </c>
      <c r="J17" s="12" t="s">
        <v>10</v>
      </c>
      <c r="K17" s="13" t="s">
        <v>11</v>
      </c>
      <c r="L17" s="14" t="s">
        <v>107</v>
      </c>
    </row>
    <row r="18" spans="1:12" x14ac:dyDescent="0.3">
      <c r="A18" s="4" t="s">
        <v>15</v>
      </c>
      <c r="B18" s="4" t="s">
        <v>25</v>
      </c>
      <c r="C18" s="6">
        <v>45427</v>
      </c>
      <c r="D18" s="4" t="s">
        <v>26</v>
      </c>
      <c r="E18" s="6">
        <v>45427</v>
      </c>
      <c r="F18" s="4" t="s">
        <v>28</v>
      </c>
      <c r="G18" s="4" t="s">
        <v>27</v>
      </c>
      <c r="H18" s="37">
        <v>345433</v>
      </c>
      <c r="I18" s="37">
        <v>345140</v>
      </c>
      <c r="J18" s="6">
        <v>45487</v>
      </c>
      <c r="K18" s="2">
        <v>60</v>
      </c>
      <c r="L18" s="15">
        <f>E18+80</f>
        <v>45507</v>
      </c>
    </row>
    <row r="19" spans="1:12" x14ac:dyDescent="0.3">
      <c r="A19" s="4" t="s">
        <v>15</v>
      </c>
      <c r="B19" s="4" t="s">
        <v>29</v>
      </c>
      <c r="C19" s="6">
        <v>45428</v>
      </c>
      <c r="D19" s="4" t="s">
        <v>30</v>
      </c>
      <c r="E19" s="6">
        <v>45427</v>
      </c>
      <c r="F19" s="4" t="s">
        <v>32</v>
      </c>
      <c r="G19" s="4" t="s">
        <v>31</v>
      </c>
      <c r="H19" s="37">
        <v>686005</v>
      </c>
      <c r="I19" s="37">
        <v>685424</v>
      </c>
      <c r="J19" s="6">
        <v>45487</v>
      </c>
      <c r="K19" s="2">
        <v>60</v>
      </c>
      <c r="L19" s="15">
        <f t="shared" ref="L19:L32" si="0">E19+80</f>
        <v>45507</v>
      </c>
    </row>
    <row r="20" spans="1:12" x14ac:dyDescent="0.3">
      <c r="A20" s="4" t="s">
        <v>15</v>
      </c>
      <c r="B20" s="4" t="s">
        <v>33</v>
      </c>
      <c r="C20" s="6">
        <v>45433</v>
      </c>
      <c r="D20" s="4" t="s">
        <v>34</v>
      </c>
      <c r="E20" s="6">
        <v>45430</v>
      </c>
      <c r="F20" s="4" t="s">
        <v>36</v>
      </c>
      <c r="G20" s="4" t="s">
        <v>35</v>
      </c>
      <c r="H20" s="37">
        <v>276297</v>
      </c>
      <c r="I20" s="37">
        <v>276063</v>
      </c>
      <c r="J20" s="6">
        <v>45490</v>
      </c>
      <c r="K20" s="2">
        <v>60</v>
      </c>
      <c r="L20" s="15">
        <f t="shared" si="0"/>
        <v>45510</v>
      </c>
    </row>
    <row r="21" spans="1:12" x14ac:dyDescent="0.3">
      <c r="A21" s="4" t="s">
        <v>15</v>
      </c>
      <c r="B21" s="4" t="s">
        <v>37</v>
      </c>
      <c r="C21" s="6">
        <v>45437</v>
      </c>
      <c r="D21" s="4" t="s">
        <v>38</v>
      </c>
      <c r="E21" s="6">
        <v>45436</v>
      </c>
      <c r="F21" s="4" t="s">
        <v>40</v>
      </c>
      <c r="G21" s="4" t="s">
        <v>39</v>
      </c>
      <c r="H21" s="37">
        <v>1123018</v>
      </c>
      <c r="I21" s="37">
        <v>1122066</v>
      </c>
      <c r="J21" s="6">
        <v>45496</v>
      </c>
      <c r="K21" s="2">
        <v>60</v>
      </c>
      <c r="L21" s="15">
        <f t="shared" si="0"/>
        <v>45516</v>
      </c>
    </row>
    <row r="22" spans="1:12" x14ac:dyDescent="0.3">
      <c r="A22" s="4" t="s">
        <v>15</v>
      </c>
      <c r="B22" s="4" t="s">
        <v>41</v>
      </c>
      <c r="C22" s="6">
        <v>45437</v>
      </c>
      <c r="D22" s="4" t="s">
        <v>42</v>
      </c>
      <c r="E22" s="6">
        <v>45436</v>
      </c>
      <c r="F22" s="4" t="s">
        <v>44</v>
      </c>
      <c r="G22" s="4" t="s">
        <v>43</v>
      </c>
      <c r="H22" s="37">
        <v>1180000</v>
      </c>
      <c r="I22" s="37">
        <v>1179000</v>
      </c>
      <c r="J22" s="6">
        <v>45496</v>
      </c>
      <c r="K22" s="2">
        <v>60</v>
      </c>
      <c r="L22" s="15">
        <f t="shared" si="0"/>
        <v>45516</v>
      </c>
    </row>
    <row r="23" spans="1:12" x14ac:dyDescent="0.3">
      <c r="A23" s="4" t="s">
        <v>15</v>
      </c>
      <c r="B23" s="4" t="s">
        <v>45</v>
      </c>
      <c r="C23" s="6">
        <v>45440</v>
      </c>
      <c r="D23" s="4" t="s">
        <v>46</v>
      </c>
      <c r="E23" s="6">
        <v>45436</v>
      </c>
      <c r="F23" s="4" t="s">
        <v>48</v>
      </c>
      <c r="G23" s="4" t="s">
        <v>47</v>
      </c>
      <c r="H23" s="37">
        <v>327450</v>
      </c>
      <c r="I23" s="37">
        <v>327172</v>
      </c>
      <c r="J23" s="6">
        <v>45496</v>
      </c>
      <c r="K23" s="2">
        <v>60</v>
      </c>
      <c r="L23" s="15">
        <f t="shared" si="0"/>
        <v>45516</v>
      </c>
    </row>
    <row r="24" spans="1:12" x14ac:dyDescent="0.3">
      <c r="A24" s="4" t="s">
        <v>15</v>
      </c>
      <c r="B24" s="4" t="s">
        <v>49</v>
      </c>
      <c r="C24" s="6">
        <v>45440</v>
      </c>
      <c r="D24" s="4" t="s">
        <v>50</v>
      </c>
      <c r="E24" s="6">
        <v>45436</v>
      </c>
      <c r="F24" s="4" t="s">
        <v>52</v>
      </c>
      <c r="G24" s="4" t="s">
        <v>51</v>
      </c>
      <c r="H24" s="37">
        <v>35754</v>
      </c>
      <c r="I24" s="37">
        <v>35724</v>
      </c>
      <c r="J24" s="6">
        <v>45496</v>
      </c>
      <c r="K24" s="2">
        <v>60</v>
      </c>
      <c r="L24" s="15">
        <f t="shared" si="0"/>
        <v>45516</v>
      </c>
    </row>
    <row r="25" spans="1:12" x14ac:dyDescent="0.3">
      <c r="A25" s="4" t="s">
        <v>15</v>
      </c>
      <c r="B25" s="4" t="s">
        <v>53</v>
      </c>
      <c r="C25" s="6">
        <v>45440</v>
      </c>
      <c r="D25" s="4" t="s">
        <v>54</v>
      </c>
      <c r="E25" s="6">
        <v>45437</v>
      </c>
      <c r="F25" s="4" t="s">
        <v>56</v>
      </c>
      <c r="G25" s="4" t="s">
        <v>55</v>
      </c>
      <c r="H25" s="37">
        <v>374992</v>
      </c>
      <c r="I25" s="37">
        <v>374674</v>
      </c>
      <c r="J25" s="6">
        <v>45497</v>
      </c>
      <c r="K25" s="2">
        <v>60</v>
      </c>
      <c r="L25" s="15">
        <f t="shared" si="0"/>
        <v>45517</v>
      </c>
    </row>
    <row r="26" spans="1:12" x14ac:dyDescent="0.3">
      <c r="A26" s="4" t="s">
        <v>15</v>
      </c>
      <c r="B26" s="4" t="s">
        <v>57</v>
      </c>
      <c r="C26" s="6">
        <v>45439</v>
      </c>
      <c r="D26" s="4" t="s">
        <v>58</v>
      </c>
      <c r="E26" s="6">
        <v>45439</v>
      </c>
      <c r="F26" s="4" t="s">
        <v>44</v>
      </c>
      <c r="G26" s="4" t="s">
        <v>43</v>
      </c>
      <c r="H26" s="37">
        <v>472000</v>
      </c>
      <c r="I26" s="37">
        <v>471600</v>
      </c>
      <c r="J26" s="6">
        <v>45499</v>
      </c>
      <c r="K26" s="2">
        <v>60</v>
      </c>
      <c r="L26" s="15">
        <f t="shared" si="0"/>
        <v>45519</v>
      </c>
    </row>
    <row r="27" spans="1:12" x14ac:dyDescent="0.3">
      <c r="A27" s="4" t="s">
        <v>15</v>
      </c>
      <c r="B27" s="4" t="s">
        <v>59</v>
      </c>
      <c r="C27" s="6">
        <v>45439</v>
      </c>
      <c r="D27" s="4" t="s">
        <v>60</v>
      </c>
      <c r="E27" s="6">
        <v>45439</v>
      </c>
      <c r="F27" s="4" t="s">
        <v>40</v>
      </c>
      <c r="G27" s="4" t="s">
        <v>39</v>
      </c>
      <c r="H27" s="37">
        <v>445335</v>
      </c>
      <c r="I27" s="37">
        <v>444958</v>
      </c>
      <c r="J27" s="6">
        <v>45499</v>
      </c>
      <c r="K27" s="2">
        <v>60</v>
      </c>
      <c r="L27" s="15">
        <f t="shared" si="0"/>
        <v>45519</v>
      </c>
    </row>
    <row r="28" spans="1:12" x14ac:dyDescent="0.3">
      <c r="A28" s="4" t="s">
        <v>15</v>
      </c>
      <c r="B28" s="4" t="s">
        <v>66</v>
      </c>
      <c r="C28" s="6">
        <v>45449</v>
      </c>
      <c r="D28" s="4" t="s">
        <v>67</v>
      </c>
      <c r="E28" s="6">
        <v>45448</v>
      </c>
      <c r="F28" s="4" t="s">
        <v>68</v>
      </c>
      <c r="G28" s="4" t="s">
        <v>65</v>
      </c>
      <c r="H28" s="37">
        <v>1107312</v>
      </c>
      <c r="I28" s="37">
        <v>1106374</v>
      </c>
      <c r="J28" s="6">
        <v>45508</v>
      </c>
      <c r="K28" s="2">
        <v>60</v>
      </c>
      <c r="L28" s="15">
        <f t="shared" si="0"/>
        <v>45528</v>
      </c>
    </row>
    <row r="29" spans="1:12" x14ac:dyDescent="0.3">
      <c r="A29" s="4" t="s">
        <v>15</v>
      </c>
      <c r="B29" s="4" t="s">
        <v>73</v>
      </c>
      <c r="C29" s="6">
        <v>45450</v>
      </c>
      <c r="D29" s="4" t="s">
        <v>74</v>
      </c>
      <c r="E29" s="6">
        <v>45448</v>
      </c>
      <c r="F29" s="4" t="s">
        <v>76</v>
      </c>
      <c r="G29" s="4" t="s">
        <v>75</v>
      </c>
      <c r="H29" s="37">
        <v>1564</v>
      </c>
      <c r="I29" s="37">
        <v>1563</v>
      </c>
      <c r="J29" s="6">
        <v>45508</v>
      </c>
      <c r="K29" s="2">
        <v>60</v>
      </c>
      <c r="L29" s="15">
        <f t="shared" si="0"/>
        <v>45528</v>
      </c>
    </row>
    <row r="30" spans="1:12" x14ac:dyDescent="0.3">
      <c r="A30" s="4" t="s">
        <v>15</v>
      </c>
      <c r="B30" s="4" t="s">
        <v>77</v>
      </c>
      <c r="C30" s="6">
        <v>45450</v>
      </c>
      <c r="D30" s="4" t="s">
        <v>78</v>
      </c>
      <c r="E30" s="6">
        <v>45450</v>
      </c>
      <c r="F30" s="4" t="s">
        <v>80</v>
      </c>
      <c r="G30" s="4" t="s">
        <v>79</v>
      </c>
      <c r="H30" s="37">
        <v>129682</v>
      </c>
      <c r="I30" s="37">
        <v>129572</v>
      </c>
      <c r="J30" s="6">
        <v>45510</v>
      </c>
      <c r="K30" s="2">
        <v>60</v>
      </c>
      <c r="L30" s="15">
        <f t="shared" si="0"/>
        <v>45530</v>
      </c>
    </row>
    <row r="31" spans="1:12" x14ac:dyDescent="0.3">
      <c r="A31" s="4" t="s">
        <v>15</v>
      </c>
      <c r="B31" s="4" t="s">
        <v>81</v>
      </c>
      <c r="C31" s="6">
        <v>45451</v>
      </c>
      <c r="D31" s="4" t="s">
        <v>82</v>
      </c>
      <c r="E31" s="6">
        <v>45450</v>
      </c>
      <c r="F31" s="4" t="s">
        <v>84</v>
      </c>
      <c r="G31" s="4" t="s">
        <v>83</v>
      </c>
      <c r="H31" s="37">
        <v>1698239</v>
      </c>
      <c r="I31" s="37">
        <v>1696800</v>
      </c>
      <c r="J31" s="6">
        <v>45510</v>
      </c>
      <c r="K31" s="2">
        <v>60</v>
      </c>
      <c r="L31" s="15">
        <f t="shared" si="0"/>
        <v>45530</v>
      </c>
    </row>
    <row r="32" spans="1:12" ht="15" thickBot="1" x14ac:dyDescent="0.35">
      <c r="A32" s="4" t="s">
        <v>15</v>
      </c>
      <c r="B32" s="4" t="s">
        <v>95</v>
      </c>
      <c r="C32" s="6">
        <v>45457</v>
      </c>
      <c r="D32" s="4" t="s">
        <v>96</v>
      </c>
      <c r="E32" s="6">
        <v>45455</v>
      </c>
      <c r="F32" s="4" t="s">
        <v>98</v>
      </c>
      <c r="G32" s="4" t="s">
        <v>97</v>
      </c>
      <c r="H32" s="37">
        <v>714042</v>
      </c>
      <c r="I32" s="37">
        <v>713437</v>
      </c>
      <c r="J32" s="6">
        <v>45515</v>
      </c>
      <c r="K32" s="2">
        <v>60</v>
      </c>
      <c r="L32" s="18">
        <f t="shared" si="0"/>
        <v>45535</v>
      </c>
    </row>
    <row r="33" spans="1:12" ht="15" thickBot="1" x14ac:dyDescent="0.35">
      <c r="A33" s="29"/>
      <c r="B33" s="30"/>
      <c r="C33" s="30"/>
      <c r="D33" s="30"/>
      <c r="E33" s="30"/>
      <c r="F33" s="30"/>
      <c r="G33" s="30"/>
      <c r="H33" s="39">
        <f>SUM(H18:H32)</f>
        <v>8917123</v>
      </c>
      <c r="I33" s="39">
        <f>SUM(I18:I32)</f>
        <v>8909567</v>
      </c>
      <c r="J33" s="30"/>
      <c r="K33" s="31"/>
      <c r="L33" s="32"/>
    </row>
    <row r="34" spans="1:12" x14ac:dyDescent="0.3">
      <c r="A34" s="19"/>
      <c r="B34" s="19"/>
      <c r="C34" s="19"/>
      <c r="D34" s="19"/>
      <c r="E34" s="19"/>
      <c r="F34" s="19"/>
      <c r="G34" s="19"/>
      <c r="H34" s="34"/>
      <c r="I34" s="34"/>
      <c r="J34" s="19"/>
      <c r="K34" s="20"/>
    </row>
    <row r="35" spans="1:12" x14ac:dyDescent="0.3">
      <c r="F35" s="33" t="s">
        <v>110</v>
      </c>
    </row>
    <row r="36" spans="1:12" x14ac:dyDescent="0.3">
      <c r="F36" s="1" t="s">
        <v>108</v>
      </c>
      <c r="G36" s="40">
        <f>I13</f>
        <v>3338532.8</v>
      </c>
    </row>
    <row r="37" spans="1:12" x14ac:dyDescent="0.3">
      <c r="F37" s="1" t="s">
        <v>109</v>
      </c>
      <c r="G37" s="40">
        <f>I33</f>
        <v>8909567</v>
      </c>
    </row>
    <row r="38" spans="1:12" x14ac:dyDescent="0.3">
      <c r="F38" s="33" t="s">
        <v>111</v>
      </c>
      <c r="G38" s="41">
        <f>SUM(G36:G37)</f>
        <v>12248099.800000001</v>
      </c>
    </row>
  </sheetData>
  <sortState xmlns:xlrd2="http://schemas.microsoft.com/office/spreadsheetml/2017/richdata2" ref="A3:R112">
    <sortCondition ref="A3:A112"/>
  </sortState>
  <printOptions horizontalCentered="1" verticalCentered="1"/>
  <pageMargins left="0" right="0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</dc:creator>
  <cp:lastModifiedBy>Megha S</cp:lastModifiedBy>
  <dcterms:created xsi:type="dcterms:W3CDTF">2024-08-01T12:50:34Z</dcterms:created>
  <dcterms:modified xsi:type="dcterms:W3CDTF">2024-08-02T09:03:56Z</dcterms:modified>
</cp:coreProperties>
</file>