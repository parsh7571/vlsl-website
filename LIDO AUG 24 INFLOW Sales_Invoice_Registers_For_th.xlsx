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INFLOW &amp; OUTFLOW\"/>
    </mc:Choice>
  </mc:AlternateContent>
  <xr:revisionPtr revIDLastSave="0" documentId="13_ncr:1_{D2E31CF0-3781-4D47-9BF4-CAB9D0A52E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" i="1" l="1"/>
  <c r="F53" i="1" s="1"/>
  <c r="F51" i="1"/>
</calcChain>
</file>

<file path=xl/sharedStrings.xml><?xml version="1.0" encoding="utf-8"?>
<sst xmlns="http://schemas.openxmlformats.org/spreadsheetml/2006/main" count="260" uniqueCount="155">
  <si>
    <t>Doc.</t>
  </si>
  <si>
    <t>Document</t>
  </si>
  <si>
    <t xml:space="preserve"> Cr</t>
  </si>
  <si>
    <t xml:space="preserve">Due       </t>
  </si>
  <si>
    <t xml:space="preserve">Order                         </t>
  </si>
  <si>
    <t xml:space="preserve">Order     </t>
  </si>
  <si>
    <t xml:space="preserve">    Document</t>
  </si>
  <si>
    <t xml:space="preserve">     Pending</t>
  </si>
  <si>
    <t>Type</t>
  </si>
  <si>
    <t xml:space="preserve">Number  </t>
  </si>
  <si>
    <t xml:space="preserve">Date      </t>
  </si>
  <si>
    <t>Prd</t>
  </si>
  <si>
    <t xml:space="preserve">No..                          </t>
  </si>
  <si>
    <t xml:space="preserve">Item Description              </t>
  </si>
  <si>
    <t xml:space="preserve">Name of Party                 </t>
  </si>
  <si>
    <t xml:space="preserve">      Amount</t>
  </si>
  <si>
    <t>INV</t>
  </si>
  <si>
    <t>ETHYL ACETATE</t>
  </si>
  <si>
    <t>MICRO LABS LIMITED</t>
  </si>
  <si>
    <t>4-HYDRAZINO BENZENESULPHONAMIDE HCL</t>
  </si>
  <si>
    <t>CDN</t>
  </si>
  <si>
    <t>200201</t>
  </si>
  <si>
    <t>17</t>
  </si>
  <si>
    <t>MEGHA CHEMICALS</t>
  </si>
  <si>
    <t>300401</t>
  </si>
  <si>
    <t>3080055647</t>
  </si>
  <si>
    <t>170501</t>
  </si>
  <si>
    <t>3080055867</t>
  </si>
  <si>
    <t>080501</t>
  </si>
  <si>
    <t>3080056140</t>
  </si>
  <si>
    <t>SODIUM BI SULFITE</t>
  </si>
  <si>
    <t>090506</t>
  </si>
  <si>
    <t>3080056052</t>
  </si>
  <si>
    <t>POTASSIUM TERT BUTOXIDE</t>
  </si>
  <si>
    <t>130501</t>
  </si>
  <si>
    <t>TRI METHYL CHLORO SILANE</t>
  </si>
  <si>
    <t>250401</t>
  </si>
  <si>
    <t>3080055863</t>
  </si>
  <si>
    <t>250402</t>
  </si>
  <si>
    <t>3080055954</t>
  </si>
  <si>
    <t>250403</t>
  </si>
  <si>
    <t>3080055985</t>
  </si>
  <si>
    <t>PARA FORMAL DEHYDE 96 %</t>
  </si>
  <si>
    <t>060501</t>
  </si>
  <si>
    <t>3080056212</t>
  </si>
  <si>
    <t>ORTHO PHOSPHORIC ACID</t>
  </si>
  <si>
    <t>060502</t>
  </si>
  <si>
    <t>2 METHOXY ETHANOL</t>
  </si>
  <si>
    <t>100702</t>
  </si>
  <si>
    <t>VERBAL</t>
  </si>
  <si>
    <t>N-butyllithium 1.6M in hexane</t>
  </si>
  <si>
    <t>Organometallics Pvt Ltd</t>
  </si>
  <si>
    <t>160501</t>
  </si>
  <si>
    <t>3080056415</t>
  </si>
  <si>
    <t>ORTHO XYLENE</t>
  </si>
  <si>
    <t>170502</t>
  </si>
  <si>
    <t>3080056338</t>
  </si>
  <si>
    <t>25% SODIUM METHOXIDE IN METHANOL</t>
  </si>
  <si>
    <t>210501</t>
  </si>
  <si>
    <t>3080056341</t>
  </si>
  <si>
    <t>PARA TOLUENE SULPHONYL CHLORIDE</t>
  </si>
  <si>
    <t>080601</t>
  </si>
  <si>
    <t>CX/ORM-0046/2024-25</t>
  </si>
  <si>
    <t>N.HEPTANE</t>
  </si>
  <si>
    <t>CDYMAX (INDIA) PHARMA PRIVATE LIMITED</t>
  </si>
  <si>
    <t>250501</t>
  </si>
  <si>
    <t>SVSH/PO/014/24-25</t>
  </si>
  <si>
    <t>NITRO BENZENE</t>
  </si>
  <si>
    <t>SVS MEDICARE PVT.LTD</t>
  </si>
  <si>
    <t>240703</t>
  </si>
  <si>
    <t>4500006346</t>
  </si>
  <si>
    <t>COMMISSION</t>
  </si>
  <si>
    <t>CREST REMEDIES LLP</t>
  </si>
  <si>
    <t>270501</t>
  </si>
  <si>
    <t>SVSM/PO/1/23-24</t>
  </si>
  <si>
    <t>SVS MEDICARE</t>
  </si>
  <si>
    <t>270502</t>
  </si>
  <si>
    <t>SVSM/PO/2/23-24</t>
  </si>
  <si>
    <t>MIX XYLENE</t>
  </si>
  <si>
    <t>280501</t>
  </si>
  <si>
    <t>3080056683</t>
  </si>
  <si>
    <t>N.BUTANOL</t>
  </si>
  <si>
    <t>280502</t>
  </si>
  <si>
    <t>3080056618</t>
  </si>
  <si>
    <t>POTASSIUM CARBONATE POWDER</t>
  </si>
  <si>
    <t>280503</t>
  </si>
  <si>
    <t>1 BROMO 3 CHLORO PROPANE</t>
  </si>
  <si>
    <t>300501</t>
  </si>
  <si>
    <t>SVSF/PO/4/24-25</t>
  </si>
  <si>
    <t>DI METHYL SULPHOXIDE</t>
  </si>
  <si>
    <t>170602</t>
  </si>
  <si>
    <t>4120001119</t>
  </si>
  <si>
    <t>CYCLOPROPYLMETHANOL</t>
  </si>
  <si>
    <t>TCG LIFESCIENCES PVT.LTD.</t>
  </si>
  <si>
    <t>050701</t>
  </si>
  <si>
    <t>624/4501858447</t>
  </si>
  <si>
    <t>ZYDUS TAKEDA HEALTHCARE PVT.LTD.</t>
  </si>
  <si>
    <t>210601</t>
  </si>
  <si>
    <t>4160000336</t>
  </si>
  <si>
    <t>210602</t>
  </si>
  <si>
    <t>210603</t>
  </si>
  <si>
    <t>070601</t>
  </si>
  <si>
    <t>3080056965</t>
  </si>
  <si>
    <t>ACETYL CHLORIDE</t>
  </si>
  <si>
    <t>070602</t>
  </si>
  <si>
    <t>SODIUM THIOSULFATE PENTAHYDRATE</t>
  </si>
  <si>
    <t>070603</t>
  </si>
  <si>
    <t>3080056932</t>
  </si>
  <si>
    <t>BENZYL CHLORIDE</t>
  </si>
  <si>
    <t>070604</t>
  </si>
  <si>
    <t>JPCPO4523</t>
  </si>
  <si>
    <t>DI METHYL FORMAMIDE</t>
  </si>
  <si>
    <t>JAI PROCHEM LLP</t>
  </si>
  <si>
    <t>220601</t>
  </si>
  <si>
    <t>CX/ORM-0062/2024-25</t>
  </si>
  <si>
    <t>240602</t>
  </si>
  <si>
    <t>3080057260</t>
  </si>
  <si>
    <t>ISO PROPYL ACETATE</t>
  </si>
  <si>
    <t>110602</t>
  </si>
  <si>
    <t>3080056986</t>
  </si>
  <si>
    <t>MORPHOLINE</t>
  </si>
  <si>
    <t>110603</t>
  </si>
  <si>
    <t>3080056953</t>
  </si>
  <si>
    <t>DIMETHYL AMINE HYDROCHLORIDE</t>
  </si>
  <si>
    <t>140601</t>
  </si>
  <si>
    <t>3080057078</t>
  </si>
  <si>
    <t>CYCLOHEXANE</t>
  </si>
  <si>
    <t>140602</t>
  </si>
  <si>
    <t>PO/HYD/1/24-25</t>
  </si>
  <si>
    <t>SVS MEDICARE (HYDERABAD)</t>
  </si>
  <si>
    <t>140603</t>
  </si>
  <si>
    <t>PO/HYD/2/24-25</t>
  </si>
  <si>
    <t>MONO CHLORO BENZENE</t>
  </si>
  <si>
    <t>170601</t>
  </si>
  <si>
    <t>3080057157</t>
  </si>
  <si>
    <t>METHYL ETHYL KETONE</t>
  </si>
  <si>
    <t>180601</t>
  </si>
  <si>
    <t>3080057117</t>
  </si>
  <si>
    <t>060701</t>
  </si>
  <si>
    <t>CX/ORM-0078/2024-25</t>
  </si>
  <si>
    <t>250601</t>
  </si>
  <si>
    <t>3080057375</t>
  </si>
  <si>
    <t>TRIPHOSGENE</t>
  </si>
  <si>
    <t>260601</t>
  </si>
  <si>
    <t>3080057379</t>
  </si>
  <si>
    <t>290601</t>
  </si>
  <si>
    <t>TETRA HYDRO FURAN</t>
  </si>
  <si>
    <t>NISHA CHEMICALS</t>
  </si>
  <si>
    <t>160705</t>
  </si>
  <si>
    <t>3080057785</t>
  </si>
  <si>
    <t>N.PROPANOL</t>
  </si>
  <si>
    <t>020701</t>
  </si>
  <si>
    <t>3080057538</t>
  </si>
  <si>
    <t>TDS AMOUNT</t>
  </si>
  <si>
    <t>LIDO - INFLOW - AUG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</si>
</sst>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" fontId="1" fillId="0" borderId="3" xfId="0" applyNumberFormat="1" applyFont="1" applyBorder="1" applyAlignment="1">
      <alignment horizontal="right"/>
    </xf>
    <xf numFmtId="14" fontId="1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" fontId="2" fillId="0" borderId="3" xfId="0" applyNumberFormat="1" applyFont="1" applyBorder="1" applyAlignment="1">
      <alignment horizontal="right"/>
    </xf>
    <xf numFmtId="0" fontId="3" fillId="0" borderId="0" xfId="0" applyFont="1"/>
    <xf numFmtId="49" fontId="2" fillId="0" borderId="2" xfId="0" applyNumberFormat="1" applyFont="1" applyBorder="1" applyAlignment="1">
      <alignment horizontal="left"/>
    </xf>
    <xf numFmtId="1" fontId="2" fillId="0" borderId="2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3" xfId="1" applyFont="1" applyBorder="1" applyAlignment="1">
      <alignment horizontal="right"/>
    </xf>
    <xf numFmtId="164" fontId="2" fillId="0" borderId="2" xfId="1" applyFont="1" applyBorder="1" applyAlignment="1">
      <alignment horizontal="right"/>
    </xf>
    <xf numFmtId="164" fontId="1" fillId="0" borderId="1" xfId="1" applyFont="1" applyBorder="1" applyAlignment="1">
      <alignment horizontal="right"/>
    </xf>
    <xf numFmtId="164" fontId="2" fillId="0" borderId="1" xfId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A35" workbookViewId="0">
      <selection activeCell="E59" sqref="E59"/>
    </sheetView>
  </sheetViews>
  <sheetFormatPr defaultRowHeight="14.4" x14ac:dyDescent="0.3"/>
  <cols>
    <col min="1" max="1" width="5.21875" style="1" bestFit="1" customWidth="1"/>
    <col min="2" max="2" width="9.88671875" style="1" bestFit="1" customWidth="1"/>
    <col min="3" max="3" width="10.109375" style="1" bestFit="1" customWidth="1"/>
    <col min="4" max="4" width="40.33203125" style="1" bestFit="1" customWidth="1"/>
    <col min="5" max="5" width="41" style="1" bestFit="1" customWidth="1"/>
    <col min="6" max="7" width="14.6640625" style="16" bestFit="1" customWidth="1"/>
    <col min="8" max="8" width="4.109375" style="2" bestFit="1" customWidth="1"/>
    <col min="9" max="9" width="10.109375" style="1" bestFit="1" customWidth="1"/>
    <col min="10" max="10" width="20.21875" style="1" bestFit="1" customWidth="1"/>
    <col min="11" max="11" width="10.109375" style="1" bestFit="1" customWidth="1"/>
  </cols>
  <sheetData>
    <row r="1" spans="1:11" s="10" customFormat="1" x14ac:dyDescent="0.3">
      <c r="A1" s="7" t="s">
        <v>0</v>
      </c>
      <c r="B1" s="7" t="s">
        <v>1</v>
      </c>
      <c r="C1" s="8"/>
      <c r="D1" s="8"/>
      <c r="E1" s="8"/>
      <c r="F1" s="14" t="s">
        <v>6</v>
      </c>
      <c r="G1" s="14" t="s">
        <v>7</v>
      </c>
      <c r="H1" s="9" t="s">
        <v>2</v>
      </c>
      <c r="I1" s="7" t="s">
        <v>3</v>
      </c>
      <c r="J1" s="7" t="s">
        <v>4</v>
      </c>
      <c r="K1" s="7" t="s">
        <v>5</v>
      </c>
    </row>
    <row r="2" spans="1:11" s="10" customFormat="1" x14ac:dyDescent="0.3">
      <c r="A2" s="11" t="s">
        <v>8</v>
      </c>
      <c r="B2" s="11" t="s">
        <v>9</v>
      </c>
      <c r="C2" s="11" t="s">
        <v>10</v>
      </c>
      <c r="D2" s="11" t="s">
        <v>14</v>
      </c>
      <c r="E2" s="11" t="s">
        <v>13</v>
      </c>
      <c r="F2" s="15" t="s">
        <v>15</v>
      </c>
      <c r="G2" s="15" t="s">
        <v>15</v>
      </c>
      <c r="H2" s="12" t="s">
        <v>11</v>
      </c>
      <c r="I2" s="11" t="s">
        <v>10</v>
      </c>
      <c r="J2" s="11" t="s">
        <v>12</v>
      </c>
      <c r="K2" s="11" t="s">
        <v>10</v>
      </c>
    </row>
    <row r="3" spans="1:11" x14ac:dyDescent="0.3">
      <c r="A3" s="3" t="s">
        <v>16</v>
      </c>
      <c r="B3" s="3" t="s">
        <v>61</v>
      </c>
      <c r="C3" s="6">
        <v>45451</v>
      </c>
      <c r="D3" s="3" t="s">
        <v>64</v>
      </c>
      <c r="E3" s="3" t="s">
        <v>63</v>
      </c>
      <c r="F3" s="16">
        <v>1778260</v>
      </c>
      <c r="G3" s="16">
        <v>1778260</v>
      </c>
      <c r="H3" s="2">
        <v>45</v>
      </c>
      <c r="I3" s="6">
        <v>45496</v>
      </c>
      <c r="J3" s="3" t="s">
        <v>62</v>
      </c>
      <c r="K3" s="6">
        <v>45450</v>
      </c>
    </row>
    <row r="4" spans="1:11" x14ac:dyDescent="0.3">
      <c r="A4" s="3" t="s">
        <v>16</v>
      </c>
      <c r="B4" s="3" t="s">
        <v>113</v>
      </c>
      <c r="C4" s="6">
        <v>45465</v>
      </c>
      <c r="D4" s="3" t="s">
        <v>64</v>
      </c>
      <c r="E4" s="3" t="s">
        <v>63</v>
      </c>
      <c r="F4" s="16">
        <v>1911630</v>
      </c>
      <c r="G4" s="16">
        <v>1911630</v>
      </c>
      <c r="H4" s="2">
        <v>45</v>
      </c>
      <c r="I4" s="6">
        <v>45510</v>
      </c>
      <c r="J4" s="3" t="s">
        <v>114</v>
      </c>
      <c r="K4" s="6">
        <v>45463</v>
      </c>
    </row>
    <row r="5" spans="1:11" x14ac:dyDescent="0.3">
      <c r="A5" s="3" t="s">
        <v>16</v>
      </c>
      <c r="B5" s="3" t="s">
        <v>138</v>
      </c>
      <c r="C5" s="6">
        <v>45479</v>
      </c>
      <c r="D5" s="3" t="s">
        <v>64</v>
      </c>
      <c r="E5" s="3" t="s">
        <v>63</v>
      </c>
      <c r="F5" s="16">
        <v>2000543</v>
      </c>
      <c r="G5" s="16">
        <v>2000543</v>
      </c>
      <c r="H5" s="2">
        <v>45</v>
      </c>
      <c r="I5" s="6">
        <v>45524</v>
      </c>
      <c r="J5" s="3" t="s">
        <v>139</v>
      </c>
      <c r="K5" s="6">
        <v>45475</v>
      </c>
    </row>
    <row r="6" spans="1:11" x14ac:dyDescent="0.3">
      <c r="A6" s="3" t="s">
        <v>16</v>
      </c>
      <c r="B6" s="3" t="s">
        <v>69</v>
      </c>
      <c r="C6" s="6">
        <v>45497</v>
      </c>
      <c r="D6" s="3" t="s">
        <v>72</v>
      </c>
      <c r="E6" s="3" t="s">
        <v>71</v>
      </c>
      <c r="F6" s="16">
        <v>47200</v>
      </c>
      <c r="G6" s="16">
        <v>47200</v>
      </c>
      <c r="I6" s="6">
        <v>45497</v>
      </c>
      <c r="J6" s="3" t="s">
        <v>70</v>
      </c>
      <c r="K6" s="6">
        <v>45469</v>
      </c>
    </row>
    <row r="7" spans="1:11" x14ac:dyDescent="0.3">
      <c r="A7" s="3" t="s">
        <v>16</v>
      </c>
      <c r="B7" s="3" t="s">
        <v>109</v>
      </c>
      <c r="C7" s="6">
        <v>45450</v>
      </c>
      <c r="D7" s="3" t="s">
        <v>112</v>
      </c>
      <c r="E7" s="3" t="s">
        <v>111</v>
      </c>
      <c r="F7" s="16">
        <v>137116</v>
      </c>
      <c r="G7" s="16">
        <v>137116</v>
      </c>
      <c r="H7" s="2">
        <v>60</v>
      </c>
      <c r="I7" s="6">
        <v>45510</v>
      </c>
      <c r="J7" s="3" t="s">
        <v>110</v>
      </c>
      <c r="K7" s="6">
        <v>45449</v>
      </c>
    </row>
    <row r="8" spans="1:11" x14ac:dyDescent="0.3">
      <c r="A8" s="3" t="s">
        <v>20</v>
      </c>
      <c r="B8" s="3" t="s">
        <v>21</v>
      </c>
      <c r="C8" s="6">
        <v>45342</v>
      </c>
      <c r="D8" s="3" t="s">
        <v>23</v>
      </c>
      <c r="E8" s="3" t="s">
        <v>153</v>
      </c>
      <c r="F8" s="16">
        <v>91428</v>
      </c>
      <c r="G8" s="16">
        <v>2106</v>
      </c>
      <c r="I8" s="6">
        <v>45342</v>
      </c>
      <c r="J8" s="3" t="s">
        <v>22</v>
      </c>
      <c r="K8" s="6">
        <v>45190</v>
      </c>
    </row>
    <row r="9" spans="1:11" x14ac:dyDescent="0.3">
      <c r="A9" s="3" t="s">
        <v>16</v>
      </c>
      <c r="B9" s="3" t="s">
        <v>24</v>
      </c>
      <c r="C9" s="6">
        <v>45412</v>
      </c>
      <c r="D9" s="3" t="s">
        <v>18</v>
      </c>
      <c r="E9" s="3" t="s">
        <v>19</v>
      </c>
      <c r="F9" s="16">
        <v>2315018</v>
      </c>
      <c r="G9" s="16">
        <v>17558</v>
      </c>
      <c r="I9" s="6">
        <v>45412</v>
      </c>
      <c r="J9" s="3" t="s">
        <v>25</v>
      </c>
      <c r="K9" s="6">
        <v>45386</v>
      </c>
    </row>
    <row r="10" spans="1:11" x14ac:dyDescent="0.3">
      <c r="A10" s="3" t="s">
        <v>16</v>
      </c>
      <c r="B10" s="3" t="s">
        <v>26</v>
      </c>
      <c r="C10" s="6">
        <v>45429</v>
      </c>
      <c r="D10" s="3" t="s">
        <v>18</v>
      </c>
      <c r="E10" s="3" t="s">
        <v>19</v>
      </c>
      <c r="F10" s="16">
        <v>2454400</v>
      </c>
      <c r="G10" s="16">
        <v>17700</v>
      </c>
      <c r="I10" s="6">
        <v>45429</v>
      </c>
      <c r="J10" s="3" t="s">
        <v>27</v>
      </c>
      <c r="K10" s="6">
        <v>45398</v>
      </c>
    </row>
    <row r="11" spans="1:11" x14ac:dyDescent="0.3">
      <c r="A11" s="3" t="s">
        <v>16</v>
      </c>
      <c r="B11" s="3" t="s">
        <v>28</v>
      </c>
      <c r="C11" s="6">
        <v>45420</v>
      </c>
      <c r="D11" s="3" t="s">
        <v>18</v>
      </c>
      <c r="E11" s="3" t="s">
        <v>30</v>
      </c>
      <c r="F11" s="16">
        <v>112100</v>
      </c>
      <c r="G11" s="16">
        <v>112100</v>
      </c>
      <c r="H11" s="2">
        <v>30</v>
      </c>
      <c r="I11" s="6">
        <v>45450</v>
      </c>
      <c r="J11" s="3" t="s">
        <v>29</v>
      </c>
      <c r="K11" s="6">
        <v>45414</v>
      </c>
    </row>
    <row r="12" spans="1:11" x14ac:dyDescent="0.3">
      <c r="A12" s="3" t="s">
        <v>16</v>
      </c>
      <c r="B12" s="3" t="s">
        <v>31</v>
      </c>
      <c r="C12" s="6">
        <v>45421</v>
      </c>
      <c r="D12" s="3" t="s">
        <v>18</v>
      </c>
      <c r="E12" s="3" t="s">
        <v>33</v>
      </c>
      <c r="F12" s="16">
        <v>518044</v>
      </c>
      <c r="G12" s="16">
        <v>518044</v>
      </c>
      <c r="H12" s="2">
        <v>30</v>
      </c>
      <c r="I12" s="6">
        <v>45451</v>
      </c>
      <c r="J12" s="3" t="s">
        <v>32</v>
      </c>
      <c r="K12" s="6">
        <v>45409</v>
      </c>
    </row>
    <row r="13" spans="1:11" x14ac:dyDescent="0.3">
      <c r="A13" s="3" t="s">
        <v>16</v>
      </c>
      <c r="B13" s="3" t="s">
        <v>34</v>
      </c>
      <c r="C13" s="6">
        <v>45425</v>
      </c>
      <c r="D13" s="3" t="s">
        <v>18</v>
      </c>
      <c r="E13" s="3" t="s">
        <v>35</v>
      </c>
      <c r="F13" s="16">
        <v>191430</v>
      </c>
      <c r="G13" s="16">
        <v>191430</v>
      </c>
      <c r="H13" s="2">
        <v>30</v>
      </c>
      <c r="I13" s="6">
        <v>45455</v>
      </c>
      <c r="J13" s="3" t="s">
        <v>29</v>
      </c>
      <c r="K13" s="6">
        <v>45414</v>
      </c>
    </row>
    <row r="14" spans="1:11" x14ac:dyDescent="0.3">
      <c r="A14" s="3" t="s">
        <v>16</v>
      </c>
      <c r="B14" s="3" t="s">
        <v>36</v>
      </c>
      <c r="C14" s="6">
        <v>45407</v>
      </c>
      <c r="D14" s="3" t="s">
        <v>18</v>
      </c>
      <c r="E14" s="3" t="s">
        <v>35</v>
      </c>
      <c r="F14" s="16">
        <v>190782</v>
      </c>
      <c r="G14" s="16">
        <v>190782</v>
      </c>
      <c r="H14" s="2">
        <v>60</v>
      </c>
      <c r="I14" s="6">
        <v>45467</v>
      </c>
      <c r="J14" s="3" t="s">
        <v>37</v>
      </c>
      <c r="K14" s="6">
        <v>45398</v>
      </c>
    </row>
    <row r="15" spans="1:11" x14ac:dyDescent="0.3">
      <c r="A15" s="3" t="s">
        <v>16</v>
      </c>
      <c r="B15" s="3" t="s">
        <v>38</v>
      </c>
      <c r="C15" s="6">
        <v>45407</v>
      </c>
      <c r="D15" s="3" t="s">
        <v>18</v>
      </c>
      <c r="E15" s="3" t="s">
        <v>35</v>
      </c>
      <c r="F15" s="16">
        <v>380385</v>
      </c>
      <c r="G15" s="16">
        <v>380385</v>
      </c>
      <c r="H15" s="2">
        <v>60</v>
      </c>
      <c r="I15" s="6">
        <v>45467</v>
      </c>
      <c r="J15" s="3" t="s">
        <v>39</v>
      </c>
      <c r="K15" s="6">
        <v>45401</v>
      </c>
    </row>
    <row r="16" spans="1:11" x14ac:dyDescent="0.3">
      <c r="A16" s="3" t="s">
        <v>16</v>
      </c>
      <c r="B16" s="3" t="s">
        <v>40</v>
      </c>
      <c r="C16" s="6">
        <v>45407</v>
      </c>
      <c r="D16" s="3" t="s">
        <v>18</v>
      </c>
      <c r="E16" s="3" t="s">
        <v>42</v>
      </c>
      <c r="F16" s="16">
        <v>24892</v>
      </c>
      <c r="G16" s="16">
        <v>24892</v>
      </c>
      <c r="H16" s="2">
        <v>60</v>
      </c>
      <c r="I16" s="6">
        <v>45467</v>
      </c>
      <c r="J16" s="3" t="s">
        <v>41</v>
      </c>
      <c r="K16" s="6">
        <v>45404</v>
      </c>
    </row>
    <row r="17" spans="1:11" x14ac:dyDescent="0.3">
      <c r="A17" s="3" t="s">
        <v>16</v>
      </c>
      <c r="B17" s="3" t="s">
        <v>43</v>
      </c>
      <c r="C17" s="6">
        <v>45418</v>
      </c>
      <c r="D17" s="3" t="s">
        <v>18</v>
      </c>
      <c r="E17" s="3" t="s">
        <v>45</v>
      </c>
      <c r="F17" s="16">
        <v>65048</v>
      </c>
      <c r="G17" s="16">
        <v>65048</v>
      </c>
      <c r="H17" s="2">
        <v>60</v>
      </c>
      <c r="I17" s="6">
        <v>45478</v>
      </c>
      <c r="J17" s="3" t="s">
        <v>44</v>
      </c>
      <c r="K17" s="6">
        <v>45416</v>
      </c>
    </row>
    <row r="18" spans="1:11" x14ac:dyDescent="0.3">
      <c r="A18" s="3" t="s">
        <v>16</v>
      </c>
      <c r="B18" s="3" t="s">
        <v>46</v>
      </c>
      <c r="C18" s="6">
        <v>45418</v>
      </c>
      <c r="D18" s="3" t="s">
        <v>18</v>
      </c>
      <c r="E18" s="3" t="s">
        <v>47</v>
      </c>
      <c r="F18" s="16">
        <v>177000</v>
      </c>
      <c r="G18" s="16">
        <v>177000</v>
      </c>
      <c r="H18" s="2">
        <v>60</v>
      </c>
      <c r="I18" s="6">
        <v>45478</v>
      </c>
      <c r="J18" s="3" t="s">
        <v>44</v>
      </c>
      <c r="K18" s="6">
        <v>45416</v>
      </c>
    </row>
    <row r="19" spans="1:11" x14ac:dyDescent="0.3">
      <c r="A19" s="3" t="s">
        <v>16</v>
      </c>
      <c r="B19" s="3" t="s">
        <v>52</v>
      </c>
      <c r="C19" s="6">
        <v>45428</v>
      </c>
      <c r="D19" s="3" t="s">
        <v>18</v>
      </c>
      <c r="E19" s="3" t="s">
        <v>54</v>
      </c>
      <c r="F19" s="16">
        <v>767420</v>
      </c>
      <c r="G19" s="16">
        <v>767420</v>
      </c>
      <c r="H19" s="2">
        <v>60</v>
      </c>
      <c r="I19" s="6">
        <v>45488</v>
      </c>
      <c r="J19" s="3" t="s">
        <v>53</v>
      </c>
      <c r="K19" s="6">
        <v>45426</v>
      </c>
    </row>
    <row r="20" spans="1:11" x14ac:dyDescent="0.3">
      <c r="A20" s="3" t="s">
        <v>16</v>
      </c>
      <c r="B20" s="3" t="s">
        <v>55</v>
      </c>
      <c r="C20" s="6">
        <v>45429</v>
      </c>
      <c r="D20" s="3" t="s">
        <v>18</v>
      </c>
      <c r="E20" s="3" t="s">
        <v>57</v>
      </c>
      <c r="F20" s="16">
        <v>330046</v>
      </c>
      <c r="G20" s="16">
        <v>330046</v>
      </c>
      <c r="H20" s="2">
        <v>60</v>
      </c>
      <c r="I20" s="6">
        <v>45489</v>
      </c>
      <c r="J20" s="3" t="s">
        <v>56</v>
      </c>
      <c r="K20" s="6">
        <v>45421</v>
      </c>
    </row>
    <row r="21" spans="1:11" x14ac:dyDescent="0.3">
      <c r="A21" s="3" t="s">
        <v>16</v>
      </c>
      <c r="B21" s="3" t="s">
        <v>58</v>
      </c>
      <c r="C21" s="6">
        <v>45433</v>
      </c>
      <c r="D21" s="3" t="s">
        <v>18</v>
      </c>
      <c r="E21" s="3" t="s">
        <v>60</v>
      </c>
      <c r="F21" s="16">
        <v>282492</v>
      </c>
      <c r="G21" s="16">
        <v>282492</v>
      </c>
      <c r="H21" s="2">
        <v>60</v>
      </c>
      <c r="I21" s="6">
        <v>45493</v>
      </c>
      <c r="J21" s="3" t="s">
        <v>59</v>
      </c>
      <c r="K21" s="6">
        <v>45421</v>
      </c>
    </row>
    <row r="22" spans="1:11" x14ac:dyDescent="0.3">
      <c r="A22" s="3" t="s">
        <v>16</v>
      </c>
      <c r="B22" s="3" t="s">
        <v>79</v>
      </c>
      <c r="C22" s="6">
        <v>45440</v>
      </c>
      <c r="D22" s="3" t="s">
        <v>18</v>
      </c>
      <c r="E22" s="3" t="s">
        <v>81</v>
      </c>
      <c r="F22" s="16">
        <v>460292</v>
      </c>
      <c r="G22" s="16">
        <v>460292</v>
      </c>
      <c r="H22" s="2">
        <v>60</v>
      </c>
      <c r="I22" s="6">
        <v>45500</v>
      </c>
      <c r="J22" s="3" t="s">
        <v>80</v>
      </c>
      <c r="K22" s="6">
        <v>45436</v>
      </c>
    </row>
    <row r="23" spans="1:11" x14ac:dyDescent="0.3">
      <c r="A23" s="3" t="s">
        <v>16</v>
      </c>
      <c r="B23" s="3" t="s">
        <v>82</v>
      </c>
      <c r="C23" s="6">
        <v>45440</v>
      </c>
      <c r="D23" s="3" t="s">
        <v>18</v>
      </c>
      <c r="E23" s="3" t="s">
        <v>84</v>
      </c>
      <c r="F23" s="16">
        <v>40356</v>
      </c>
      <c r="G23" s="16">
        <v>40356</v>
      </c>
      <c r="H23" s="2">
        <v>60</v>
      </c>
      <c r="I23" s="6">
        <v>45500</v>
      </c>
      <c r="J23" s="3" t="s">
        <v>83</v>
      </c>
      <c r="K23" s="6">
        <v>45434</v>
      </c>
    </row>
    <row r="24" spans="1:11" x14ac:dyDescent="0.3">
      <c r="A24" s="3" t="s">
        <v>16</v>
      </c>
      <c r="B24" s="3" t="s">
        <v>85</v>
      </c>
      <c r="C24" s="6">
        <v>45440</v>
      </c>
      <c r="D24" s="3" t="s">
        <v>18</v>
      </c>
      <c r="E24" s="3" t="s">
        <v>86</v>
      </c>
      <c r="F24" s="16">
        <v>360715</v>
      </c>
      <c r="G24" s="16">
        <v>360715</v>
      </c>
      <c r="H24" s="2">
        <v>60</v>
      </c>
      <c r="I24" s="6">
        <v>45500</v>
      </c>
      <c r="J24" s="3" t="s">
        <v>83</v>
      </c>
      <c r="K24" s="6">
        <v>45434</v>
      </c>
    </row>
    <row r="25" spans="1:11" x14ac:dyDescent="0.3">
      <c r="A25" s="3" t="s">
        <v>16</v>
      </c>
      <c r="B25" s="3" t="s">
        <v>101</v>
      </c>
      <c r="C25" s="6">
        <v>45450</v>
      </c>
      <c r="D25" s="3" t="s">
        <v>18</v>
      </c>
      <c r="E25" s="3" t="s">
        <v>103</v>
      </c>
      <c r="F25" s="16">
        <v>17700</v>
      </c>
      <c r="G25" s="16">
        <v>17700</v>
      </c>
      <c r="H25" s="2">
        <v>60</v>
      </c>
      <c r="I25" s="6">
        <v>45510</v>
      </c>
      <c r="J25" s="3" t="s">
        <v>102</v>
      </c>
      <c r="K25" s="6">
        <v>45447</v>
      </c>
    </row>
    <row r="26" spans="1:11" x14ac:dyDescent="0.3">
      <c r="A26" s="3" t="s">
        <v>16</v>
      </c>
      <c r="B26" s="3" t="s">
        <v>104</v>
      </c>
      <c r="C26" s="6">
        <v>45450</v>
      </c>
      <c r="D26" s="3" t="s">
        <v>18</v>
      </c>
      <c r="E26" s="3" t="s">
        <v>105</v>
      </c>
      <c r="F26" s="16">
        <v>12390</v>
      </c>
      <c r="G26" s="16">
        <v>12390</v>
      </c>
      <c r="H26" s="2">
        <v>60</v>
      </c>
      <c r="I26" s="6">
        <v>45510</v>
      </c>
      <c r="J26" s="3" t="s">
        <v>102</v>
      </c>
      <c r="K26" s="6">
        <v>45447</v>
      </c>
    </row>
    <row r="27" spans="1:11" x14ac:dyDescent="0.3">
      <c r="A27" s="3" t="s">
        <v>16</v>
      </c>
      <c r="B27" s="3" t="s">
        <v>106</v>
      </c>
      <c r="C27" s="6">
        <v>45450</v>
      </c>
      <c r="D27" s="3" t="s">
        <v>18</v>
      </c>
      <c r="E27" s="3" t="s">
        <v>108</v>
      </c>
      <c r="F27" s="16">
        <v>143842</v>
      </c>
      <c r="G27" s="16">
        <v>143842</v>
      </c>
      <c r="H27" s="2">
        <v>60</v>
      </c>
      <c r="I27" s="6">
        <v>45510</v>
      </c>
      <c r="J27" s="3" t="s">
        <v>107</v>
      </c>
      <c r="K27" s="6">
        <v>45446</v>
      </c>
    </row>
    <row r="28" spans="1:11" x14ac:dyDescent="0.3">
      <c r="A28" s="3" t="s">
        <v>16</v>
      </c>
      <c r="B28" s="3" t="s">
        <v>115</v>
      </c>
      <c r="C28" s="6">
        <v>45467</v>
      </c>
      <c r="D28" s="3" t="s">
        <v>18</v>
      </c>
      <c r="E28" s="3" t="s">
        <v>117</v>
      </c>
      <c r="F28" s="16">
        <v>143370</v>
      </c>
      <c r="G28" s="16">
        <v>143370</v>
      </c>
      <c r="H28" s="2">
        <v>45</v>
      </c>
      <c r="I28" s="6">
        <v>45512</v>
      </c>
      <c r="J28" s="3" t="s">
        <v>116</v>
      </c>
      <c r="K28" s="6">
        <v>45463</v>
      </c>
    </row>
    <row r="29" spans="1:11" x14ac:dyDescent="0.3">
      <c r="A29" s="3" t="s">
        <v>16</v>
      </c>
      <c r="B29" s="3" t="s">
        <v>118</v>
      </c>
      <c r="C29" s="6">
        <v>45454</v>
      </c>
      <c r="D29" s="3" t="s">
        <v>18</v>
      </c>
      <c r="E29" s="3" t="s">
        <v>120</v>
      </c>
      <c r="F29" s="16">
        <v>51920</v>
      </c>
      <c r="G29" s="16">
        <v>51920</v>
      </c>
      <c r="H29" s="2">
        <v>60</v>
      </c>
      <c r="I29" s="6">
        <v>45514</v>
      </c>
      <c r="J29" s="3" t="s">
        <v>119</v>
      </c>
      <c r="K29" s="6">
        <v>45448</v>
      </c>
    </row>
    <row r="30" spans="1:11" x14ac:dyDescent="0.3">
      <c r="A30" s="3" t="s">
        <v>16</v>
      </c>
      <c r="B30" s="3" t="s">
        <v>121</v>
      </c>
      <c r="C30" s="6">
        <v>45454</v>
      </c>
      <c r="D30" s="3" t="s">
        <v>18</v>
      </c>
      <c r="E30" s="3" t="s">
        <v>123</v>
      </c>
      <c r="F30" s="16">
        <v>55578</v>
      </c>
      <c r="G30" s="16">
        <v>55578</v>
      </c>
      <c r="H30" s="2">
        <v>60</v>
      </c>
      <c r="I30" s="6">
        <v>45514</v>
      </c>
      <c r="J30" s="3" t="s">
        <v>122</v>
      </c>
      <c r="K30" s="6">
        <v>45447</v>
      </c>
    </row>
    <row r="31" spans="1:11" x14ac:dyDescent="0.3">
      <c r="A31" s="3" t="s">
        <v>16</v>
      </c>
      <c r="B31" s="3" t="s">
        <v>124</v>
      </c>
      <c r="C31" s="6">
        <v>45457</v>
      </c>
      <c r="D31" s="3" t="s">
        <v>18</v>
      </c>
      <c r="E31" s="3" t="s">
        <v>126</v>
      </c>
      <c r="F31" s="16">
        <v>841559</v>
      </c>
      <c r="G31" s="16">
        <v>841559</v>
      </c>
      <c r="H31" s="2">
        <v>60</v>
      </c>
      <c r="I31" s="6">
        <v>45517</v>
      </c>
      <c r="J31" s="3" t="s">
        <v>125</v>
      </c>
      <c r="K31" s="6">
        <v>45454</v>
      </c>
    </row>
    <row r="32" spans="1:11" x14ac:dyDescent="0.3">
      <c r="A32" s="3" t="s">
        <v>16</v>
      </c>
      <c r="B32" s="3" t="s">
        <v>133</v>
      </c>
      <c r="C32" s="6">
        <v>45460</v>
      </c>
      <c r="D32" s="3" t="s">
        <v>18</v>
      </c>
      <c r="E32" s="3" t="s">
        <v>135</v>
      </c>
      <c r="F32" s="16">
        <v>784641</v>
      </c>
      <c r="G32" s="16">
        <v>784641</v>
      </c>
      <c r="H32" s="2">
        <v>60</v>
      </c>
      <c r="I32" s="6">
        <v>45520</v>
      </c>
      <c r="J32" s="3" t="s">
        <v>134</v>
      </c>
      <c r="K32" s="6">
        <v>45457</v>
      </c>
    </row>
    <row r="33" spans="1:11" x14ac:dyDescent="0.3">
      <c r="A33" s="3" t="s">
        <v>16</v>
      </c>
      <c r="B33" s="3" t="s">
        <v>136</v>
      </c>
      <c r="C33" s="6">
        <v>45461</v>
      </c>
      <c r="D33" s="3" t="s">
        <v>18</v>
      </c>
      <c r="E33" s="3" t="s">
        <v>57</v>
      </c>
      <c r="F33" s="16">
        <v>89680</v>
      </c>
      <c r="G33" s="16">
        <v>89680</v>
      </c>
      <c r="H33" s="2">
        <v>60</v>
      </c>
      <c r="I33" s="6">
        <v>45521</v>
      </c>
      <c r="J33" s="3" t="s">
        <v>137</v>
      </c>
      <c r="K33" s="6">
        <v>45456</v>
      </c>
    </row>
    <row r="34" spans="1:11" x14ac:dyDescent="0.3">
      <c r="A34" s="3" t="s">
        <v>16</v>
      </c>
      <c r="B34" s="3" t="s">
        <v>140</v>
      </c>
      <c r="C34" s="6">
        <v>45468</v>
      </c>
      <c r="D34" s="3" t="s">
        <v>18</v>
      </c>
      <c r="E34" s="3" t="s">
        <v>142</v>
      </c>
      <c r="F34" s="16">
        <v>22745</v>
      </c>
      <c r="G34" s="16">
        <v>22745</v>
      </c>
      <c r="H34" s="2">
        <v>60</v>
      </c>
      <c r="I34" s="6">
        <v>45528</v>
      </c>
      <c r="J34" s="3" t="s">
        <v>141</v>
      </c>
      <c r="K34" s="6">
        <v>45467</v>
      </c>
    </row>
    <row r="35" spans="1:11" x14ac:dyDescent="0.3">
      <c r="A35" s="3" t="s">
        <v>16</v>
      </c>
      <c r="B35" s="3" t="s">
        <v>143</v>
      </c>
      <c r="C35" s="6">
        <v>45469</v>
      </c>
      <c r="D35" s="3" t="s">
        <v>18</v>
      </c>
      <c r="E35" s="3" t="s">
        <v>60</v>
      </c>
      <c r="F35" s="16">
        <v>120322</v>
      </c>
      <c r="G35" s="16">
        <v>120322</v>
      </c>
      <c r="H35" s="2">
        <v>60</v>
      </c>
      <c r="I35" s="6">
        <v>45529</v>
      </c>
      <c r="J35" s="3" t="s">
        <v>144</v>
      </c>
      <c r="K35" s="6">
        <v>45468</v>
      </c>
    </row>
    <row r="36" spans="1:11" x14ac:dyDescent="0.3">
      <c r="A36" s="3" t="s">
        <v>16</v>
      </c>
      <c r="B36" s="3" t="s">
        <v>148</v>
      </c>
      <c r="C36" s="6">
        <v>45489</v>
      </c>
      <c r="D36" s="3" t="s">
        <v>18</v>
      </c>
      <c r="E36" s="3" t="s">
        <v>150</v>
      </c>
      <c r="F36" s="16">
        <v>490644</v>
      </c>
      <c r="G36" s="16">
        <v>490644</v>
      </c>
      <c r="H36" s="2">
        <v>45</v>
      </c>
      <c r="I36" s="6">
        <v>45534</v>
      </c>
      <c r="J36" s="3" t="s">
        <v>149</v>
      </c>
      <c r="K36" s="6">
        <v>45484</v>
      </c>
    </row>
    <row r="37" spans="1:11" x14ac:dyDescent="0.3">
      <c r="A37" s="3" t="s">
        <v>16</v>
      </c>
      <c r="B37" s="3" t="s">
        <v>151</v>
      </c>
      <c r="C37" s="6">
        <v>45475</v>
      </c>
      <c r="D37" s="3" t="s">
        <v>18</v>
      </c>
      <c r="E37" s="3" t="s">
        <v>111</v>
      </c>
      <c r="F37" s="16">
        <v>326078</v>
      </c>
      <c r="G37" s="16">
        <v>326078</v>
      </c>
      <c r="H37" s="2">
        <v>60</v>
      </c>
      <c r="I37" s="6">
        <v>45535</v>
      </c>
      <c r="J37" s="3" t="s">
        <v>152</v>
      </c>
      <c r="K37" s="6">
        <v>45474</v>
      </c>
    </row>
    <row r="38" spans="1:11" x14ac:dyDescent="0.3">
      <c r="A38" s="3" t="s">
        <v>16</v>
      </c>
      <c r="B38" s="3" t="s">
        <v>145</v>
      </c>
      <c r="C38" s="6">
        <v>45472</v>
      </c>
      <c r="D38" s="3" t="s">
        <v>147</v>
      </c>
      <c r="E38" s="3" t="s">
        <v>146</v>
      </c>
      <c r="F38" s="16">
        <v>981288</v>
      </c>
      <c r="G38" s="16">
        <v>981288</v>
      </c>
      <c r="H38" s="2">
        <v>60</v>
      </c>
      <c r="I38" s="6">
        <v>45532</v>
      </c>
      <c r="J38" s="3" t="s">
        <v>49</v>
      </c>
      <c r="K38" s="6">
        <v>45472</v>
      </c>
    </row>
    <row r="39" spans="1:11" x14ac:dyDescent="0.3">
      <c r="A39" s="3" t="s">
        <v>16</v>
      </c>
      <c r="B39" s="3" t="s">
        <v>48</v>
      </c>
      <c r="C39" s="6">
        <v>45483</v>
      </c>
      <c r="D39" s="3" t="s">
        <v>51</v>
      </c>
      <c r="E39" s="3" t="s">
        <v>50</v>
      </c>
      <c r="F39" s="16">
        <v>26550</v>
      </c>
      <c r="G39" s="16">
        <v>26550</v>
      </c>
      <c r="I39" s="6">
        <v>45483</v>
      </c>
      <c r="J39" s="3" t="s">
        <v>49</v>
      </c>
      <c r="K39" s="6">
        <v>45483</v>
      </c>
    </row>
    <row r="40" spans="1:11" x14ac:dyDescent="0.3">
      <c r="A40" s="3" t="s">
        <v>16</v>
      </c>
      <c r="B40" s="3" t="s">
        <v>73</v>
      </c>
      <c r="C40" s="6">
        <v>45439</v>
      </c>
      <c r="D40" s="3" t="s">
        <v>75</v>
      </c>
      <c r="E40" s="3" t="s">
        <v>67</v>
      </c>
      <c r="F40" s="16">
        <v>483210</v>
      </c>
      <c r="G40" s="16">
        <v>483210</v>
      </c>
      <c r="H40" s="2">
        <v>60</v>
      </c>
      <c r="I40" s="6">
        <v>45499</v>
      </c>
      <c r="J40" s="3" t="s">
        <v>74</v>
      </c>
      <c r="K40" s="6">
        <v>45439</v>
      </c>
    </row>
    <row r="41" spans="1:11" x14ac:dyDescent="0.3">
      <c r="A41" s="3" t="s">
        <v>16</v>
      </c>
      <c r="B41" s="3" t="s">
        <v>76</v>
      </c>
      <c r="C41" s="6">
        <v>45439</v>
      </c>
      <c r="D41" s="3" t="s">
        <v>75</v>
      </c>
      <c r="E41" s="3" t="s">
        <v>78</v>
      </c>
      <c r="F41" s="16">
        <v>459478</v>
      </c>
      <c r="G41" s="16">
        <v>459478</v>
      </c>
      <c r="H41" s="2">
        <v>60</v>
      </c>
      <c r="I41" s="6">
        <v>45499</v>
      </c>
      <c r="J41" s="3" t="s">
        <v>77</v>
      </c>
      <c r="K41" s="6">
        <v>45439</v>
      </c>
    </row>
    <row r="42" spans="1:11" x14ac:dyDescent="0.3">
      <c r="A42" s="3" t="s">
        <v>16</v>
      </c>
      <c r="B42" s="3" t="s">
        <v>87</v>
      </c>
      <c r="C42" s="6">
        <v>45442</v>
      </c>
      <c r="D42" s="3" t="s">
        <v>75</v>
      </c>
      <c r="E42" s="3" t="s">
        <v>89</v>
      </c>
      <c r="F42" s="16">
        <v>195113</v>
      </c>
      <c r="G42" s="16">
        <v>195113</v>
      </c>
      <c r="H42" s="2">
        <v>60</v>
      </c>
      <c r="I42" s="6">
        <v>45502</v>
      </c>
      <c r="J42" s="3" t="s">
        <v>88</v>
      </c>
      <c r="K42" s="6">
        <v>45441</v>
      </c>
    </row>
    <row r="43" spans="1:11" x14ac:dyDescent="0.3">
      <c r="A43" s="3" t="s">
        <v>16</v>
      </c>
      <c r="B43" s="3" t="s">
        <v>127</v>
      </c>
      <c r="C43" s="6">
        <v>45457</v>
      </c>
      <c r="D43" s="3" t="s">
        <v>129</v>
      </c>
      <c r="E43" s="3" t="s">
        <v>67</v>
      </c>
      <c r="F43" s="16">
        <v>483210</v>
      </c>
      <c r="G43" s="16">
        <v>483210</v>
      </c>
      <c r="H43" s="2">
        <v>60</v>
      </c>
      <c r="I43" s="6">
        <v>45517</v>
      </c>
      <c r="J43" s="3" t="s">
        <v>128</v>
      </c>
      <c r="K43" s="6">
        <v>45456</v>
      </c>
    </row>
    <row r="44" spans="1:11" x14ac:dyDescent="0.3">
      <c r="A44" s="3" t="s">
        <v>16</v>
      </c>
      <c r="B44" s="3" t="s">
        <v>130</v>
      </c>
      <c r="C44" s="6">
        <v>45457</v>
      </c>
      <c r="D44" s="3" t="s">
        <v>129</v>
      </c>
      <c r="E44" s="3" t="s">
        <v>132</v>
      </c>
      <c r="F44" s="16">
        <v>67688</v>
      </c>
      <c r="G44" s="16">
        <v>67688</v>
      </c>
      <c r="H44" s="2">
        <v>60</v>
      </c>
      <c r="I44" s="6">
        <v>45517</v>
      </c>
      <c r="J44" s="3" t="s">
        <v>131</v>
      </c>
      <c r="K44" s="6">
        <v>45457</v>
      </c>
    </row>
    <row r="45" spans="1:11" x14ac:dyDescent="0.3">
      <c r="A45" s="3" t="s">
        <v>16</v>
      </c>
      <c r="B45" s="3" t="s">
        <v>65</v>
      </c>
      <c r="C45" s="6">
        <v>45437</v>
      </c>
      <c r="D45" s="3" t="s">
        <v>68</v>
      </c>
      <c r="E45" s="3" t="s">
        <v>67</v>
      </c>
      <c r="F45" s="16">
        <v>1203600</v>
      </c>
      <c r="G45" s="16">
        <v>1203600</v>
      </c>
      <c r="H45" s="2">
        <v>60</v>
      </c>
      <c r="I45" s="6">
        <v>45497</v>
      </c>
      <c r="J45" s="3" t="s">
        <v>66</v>
      </c>
      <c r="K45" s="6">
        <v>45436</v>
      </c>
    </row>
    <row r="46" spans="1:11" x14ac:dyDescent="0.3">
      <c r="A46" s="3" t="s">
        <v>16</v>
      </c>
      <c r="B46" s="3" t="s">
        <v>90</v>
      </c>
      <c r="C46" s="6">
        <v>45460</v>
      </c>
      <c r="D46" s="3" t="s">
        <v>93</v>
      </c>
      <c r="E46" s="3" t="s">
        <v>92</v>
      </c>
      <c r="F46" s="16">
        <v>40120</v>
      </c>
      <c r="G46" s="16">
        <v>40120</v>
      </c>
      <c r="H46" s="2">
        <v>45</v>
      </c>
      <c r="I46" s="6">
        <v>45505</v>
      </c>
      <c r="J46" s="3" t="s">
        <v>91</v>
      </c>
      <c r="K46" s="6">
        <v>45447</v>
      </c>
    </row>
    <row r="47" spans="1:11" x14ac:dyDescent="0.3">
      <c r="A47" s="3" t="s">
        <v>16</v>
      </c>
      <c r="B47" s="3" t="s">
        <v>97</v>
      </c>
      <c r="C47" s="6">
        <v>45464</v>
      </c>
      <c r="D47" s="3" t="s">
        <v>93</v>
      </c>
      <c r="E47" s="3" t="s">
        <v>17</v>
      </c>
      <c r="F47" s="16">
        <v>280014</v>
      </c>
      <c r="G47" s="16">
        <v>280014</v>
      </c>
      <c r="H47" s="2">
        <v>45</v>
      </c>
      <c r="I47" s="6">
        <v>45509</v>
      </c>
      <c r="J47" s="3" t="s">
        <v>98</v>
      </c>
      <c r="K47" s="6">
        <v>45405</v>
      </c>
    </row>
    <row r="48" spans="1:11" x14ac:dyDescent="0.3">
      <c r="A48" s="3" t="s">
        <v>16</v>
      </c>
      <c r="B48" s="3" t="s">
        <v>99</v>
      </c>
      <c r="C48" s="6">
        <v>45464</v>
      </c>
      <c r="D48" s="3" t="s">
        <v>93</v>
      </c>
      <c r="E48" s="3" t="s">
        <v>17</v>
      </c>
      <c r="F48" s="16">
        <v>280014</v>
      </c>
      <c r="G48" s="16">
        <v>280014</v>
      </c>
      <c r="H48" s="2">
        <v>45</v>
      </c>
      <c r="I48" s="6">
        <v>45509</v>
      </c>
      <c r="J48" s="3" t="s">
        <v>98</v>
      </c>
      <c r="K48" s="6">
        <v>45405</v>
      </c>
    </row>
    <row r="49" spans="1:11" x14ac:dyDescent="0.3">
      <c r="A49" s="3" t="s">
        <v>16</v>
      </c>
      <c r="B49" s="3" t="s">
        <v>100</v>
      </c>
      <c r="C49" s="6">
        <v>45464</v>
      </c>
      <c r="D49" s="3" t="s">
        <v>93</v>
      </c>
      <c r="E49" s="3" t="s">
        <v>17</v>
      </c>
      <c r="F49" s="16">
        <v>280014</v>
      </c>
      <c r="G49" s="16">
        <v>280014</v>
      </c>
      <c r="H49" s="2">
        <v>45</v>
      </c>
      <c r="I49" s="6">
        <v>45509</v>
      </c>
      <c r="J49" s="3" t="s">
        <v>98</v>
      </c>
      <c r="K49" s="6">
        <v>45405</v>
      </c>
    </row>
    <row r="50" spans="1:11" ht="15" thickBot="1" x14ac:dyDescent="0.35">
      <c r="A50" s="3" t="s">
        <v>16</v>
      </c>
      <c r="B50" s="3" t="s">
        <v>94</v>
      </c>
      <c r="C50" s="6">
        <v>45478</v>
      </c>
      <c r="D50" s="3" t="s">
        <v>96</v>
      </c>
      <c r="E50" s="3" t="s">
        <v>50</v>
      </c>
      <c r="F50" s="16">
        <v>5900</v>
      </c>
      <c r="G50" s="16">
        <v>3953</v>
      </c>
      <c r="H50" s="2">
        <v>30</v>
      </c>
      <c r="I50" s="6">
        <v>45508</v>
      </c>
      <c r="J50" s="3" t="s">
        <v>95</v>
      </c>
      <c r="K50" s="6">
        <v>45446</v>
      </c>
    </row>
    <row r="51" spans="1:11" x14ac:dyDescent="0.3">
      <c r="A51" s="4"/>
      <c r="B51" s="4"/>
      <c r="C51" s="4"/>
      <c r="D51" s="4"/>
      <c r="E51" s="4"/>
      <c r="F51" s="14">
        <f>SUM(F3:F50)</f>
        <v>22523265</v>
      </c>
      <c r="G51" s="14">
        <f>SUM(G3:G50)</f>
        <v>17697836</v>
      </c>
      <c r="H51" s="5"/>
      <c r="I51" s="4"/>
      <c r="J51" s="4"/>
      <c r="K51" s="4"/>
    </row>
    <row r="53" spans="1:11" x14ac:dyDescent="0.3">
      <c r="E53" s="13" t="s">
        <v>154</v>
      </c>
      <c r="F53" s="17">
        <f>G51</f>
        <v>17697836</v>
      </c>
    </row>
  </sheetData>
  <sortState xmlns:xlrd2="http://schemas.microsoft.com/office/spreadsheetml/2017/richdata2" ref="A3:R53">
    <sortCondition ref="D3:D53"/>
    <sortCondition ref="I3:I53"/>
  </sortState>
  <printOptions horizontalCentered="1" verticalCentered="1"/>
  <pageMargins left="0" right="0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</dc:creator>
  <cp:lastModifiedBy>Megha S</cp:lastModifiedBy>
  <dcterms:created xsi:type="dcterms:W3CDTF">2024-08-01T12:41:50Z</dcterms:created>
  <dcterms:modified xsi:type="dcterms:W3CDTF">2024-08-02T09:03:10Z</dcterms:modified>
</cp:coreProperties>
</file>