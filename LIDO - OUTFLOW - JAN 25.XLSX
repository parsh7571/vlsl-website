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INFLOW &amp; OUTFLOW\"/>
    </mc:Choice>
  </mc:AlternateContent>
  <xr:revisionPtr revIDLastSave="0" documentId="13_ncr:1_{6E5C51F5-BBD3-421F-B043-1FBFBA7BCE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UTFLOW - JAN 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G29" i="1" s="1"/>
  <c r="H25" i="1"/>
  <c r="I15" i="1"/>
  <c r="G28" i="1" s="1"/>
  <c r="H15" i="1"/>
  <c r="L8" i="1"/>
  <c r="L13" i="1"/>
  <c r="L14" i="1"/>
  <c r="L12" i="1"/>
  <c r="L10" i="1"/>
  <c r="L4" i="1"/>
  <c r="L5" i="1"/>
  <c r="L9" i="1"/>
  <c r="L3" i="1"/>
  <c r="L7" i="1"/>
  <c r="L6" i="1"/>
  <c r="L11" i="1"/>
  <c r="G30" i="1" l="1"/>
</calcChain>
</file>

<file path=xl/sharedStrings.xml><?xml version="1.0" encoding="utf-8"?>
<sst xmlns="http://schemas.openxmlformats.org/spreadsheetml/2006/main" count="130" uniqueCount="92">
  <si>
    <t>Doc.</t>
  </si>
  <si>
    <t>Document</t>
  </si>
  <si>
    <t xml:space="preserve">Bill                          </t>
  </si>
  <si>
    <t xml:space="preserve">Bill      </t>
  </si>
  <si>
    <t xml:space="preserve">    Document</t>
  </si>
  <si>
    <t xml:space="preserve">     Pending</t>
  </si>
  <si>
    <t>Type</t>
  </si>
  <si>
    <t xml:space="preserve">Number  </t>
  </si>
  <si>
    <t xml:space="preserve">Date      </t>
  </si>
  <si>
    <t xml:space="preserve">No.                           </t>
  </si>
  <si>
    <t xml:space="preserve">Due Date     </t>
  </si>
  <si>
    <t xml:space="preserve"> Cr period</t>
  </si>
  <si>
    <t xml:space="preserve">Item Description         </t>
  </si>
  <si>
    <t xml:space="preserve">Name of Party                 </t>
  </si>
  <si>
    <t xml:space="preserve">      Amount</t>
  </si>
  <si>
    <t>PUR</t>
  </si>
  <si>
    <t>020802</t>
  </si>
  <si>
    <t>S/23-24/008</t>
  </si>
  <si>
    <t>TETRA HYDRO FURAN</t>
  </si>
  <si>
    <t>SATGURU CHEMICALS INDIA</t>
  </si>
  <si>
    <t>241001</t>
  </si>
  <si>
    <t>050701</t>
  </si>
  <si>
    <t>OMPL/0044/24-25</t>
  </si>
  <si>
    <t>N-butyllithium 1.6M in hexane</t>
  </si>
  <si>
    <t>Organometallics Pvt Ltd</t>
  </si>
  <si>
    <t>URMI CHEMICALS</t>
  </si>
  <si>
    <t>SIMA PRODUCTS</t>
  </si>
  <si>
    <t>181001</t>
  </si>
  <si>
    <t>M11602</t>
  </si>
  <si>
    <t>ACETONE</t>
  </si>
  <si>
    <t>R R INNOVATIVE PRIVATE LIMITED</t>
  </si>
  <si>
    <t>181002</t>
  </si>
  <si>
    <t>MMSC/2686/24-25</t>
  </si>
  <si>
    <t>ETHYL ACETATE</t>
  </si>
  <si>
    <t>M M SOLVOCHEM LLP</t>
  </si>
  <si>
    <t>181004</t>
  </si>
  <si>
    <t>410124</t>
  </si>
  <si>
    <t>ACETONITRILE</t>
  </si>
  <si>
    <t>NISHA CHEMICALS</t>
  </si>
  <si>
    <t>221002</t>
  </si>
  <si>
    <t>JTC/4367/24-25</t>
  </si>
  <si>
    <t>ACETIC ACID</t>
  </si>
  <si>
    <t>JAYESH TRADING CO.</t>
  </si>
  <si>
    <t>221003</t>
  </si>
  <si>
    <t>D01754</t>
  </si>
  <si>
    <t>DI METHYL FORMAMIDE</t>
  </si>
  <si>
    <t>J.V.CHEM(INDIA)</t>
  </si>
  <si>
    <t>231001</t>
  </si>
  <si>
    <t>MUM003151</t>
  </si>
  <si>
    <t>PYRIDINE</t>
  </si>
  <si>
    <t>1530</t>
  </si>
  <si>
    <t>NITRO BENZENE</t>
  </si>
  <si>
    <t>NILESH ENTERPRISES</t>
  </si>
  <si>
    <t>251001</t>
  </si>
  <si>
    <t>M12076</t>
  </si>
  <si>
    <t>TRIPHOSGENE</t>
  </si>
  <si>
    <t>261001</t>
  </si>
  <si>
    <t>241395</t>
  </si>
  <si>
    <t>ISO PROPYL ACETATE</t>
  </si>
  <si>
    <t>IMPERIAL SALES CORPORATION</t>
  </si>
  <si>
    <t>261002</t>
  </si>
  <si>
    <t>M12185</t>
  </si>
  <si>
    <t>CYCLOHEXANE</t>
  </si>
  <si>
    <t>061201</t>
  </si>
  <si>
    <t>381/24-25</t>
  </si>
  <si>
    <t>3 CHLORO PROPIONYL CHLORIDE</t>
  </si>
  <si>
    <t>041101</t>
  </si>
  <si>
    <t>SP/0420/24-25</t>
  </si>
  <si>
    <t>THIONYL CHLORIDE</t>
  </si>
  <si>
    <t>SAROJA PHARMA (I) PVT. LTD</t>
  </si>
  <si>
    <t>211103</t>
  </si>
  <si>
    <t>P1-346/24-25</t>
  </si>
  <si>
    <t>HIPPURIC ACID</t>
  </si>
  <si>
    <t>PARAS INTERMEDIATES PVT.LTD</t>
  </si>
  <si>
    <t>111101</t>
  </si>
  <si>
    <t>D12349</t>
  </si>
  <si>
    <t>N.PROPANOL</t>
  </si>
  <si>
    <t>SANJAY CHEMICALS (INDIA) PVT.LTD.</t>
  </si>
  <si>
    <t>161101</t>
  </si>
  <si>
    <t>305/24-25</t>
  </si>
  <si>
    <t>CHLORO SULPHONIC ACID</t>
  </si>
  <si>
    <t>SIMA CHEMICALS</t>
  </si>
  <si>
    <t>221101</t>
  </si>
  <si>
    <t>SIIPL/24-25/1003</t>
  </si>
  <si>
    <t>25% SODIUM METHOXIDE IN METHANOL</t>
  </si>
  <si>
    <t>SURABHI INDUSTRIES INDIA PVT LTD</t>
  </si>
  <si>
    <t xml:space="preserve">LIDO </t>
  </si>
  <si>
    <t>DUE DATE</t>
  </si>
  <si>
    <t>LIDO - OUTFLOW - JAN 25</t>
  </si>
  <si>
    <t>MARKET PARTY</t>
  </si>
  <si>
    <t>SUPPLIER PARTY</t>
  </si>
  <si>
    <t>TOTAL OUTFLOW FOR JAN 25 - LIDO 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</si>
</sst>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" fontId="2" fillId="0" borderId="3" xfId="0" applyNumberFormat="1" applyFont="1" applyBorder="1" applyAlignment="1">
      <alignment horizontal="right"/>
    </xf>
    <xf numFmtId="0" fontId="4" fillId="0" borderId="0" xfId="0" applyFont="1"/>
    <xf numFmtId="49" fontId="2" fillId="0" borderId="2" xfId="0" applyNumberFormat="1" applyFont="1" applyBorder="1" applyAlignment="1">
      <alignment horizontal="left"/>
    </xf>
    <xf numFmtId="1" fontId="2" fillId="0" borderId="2" xfId="0" applyNumberFormat="1" applyFont="1" applyBorder="1" applyAlignment="1">
      <alignment horizontal="right"/>
    </xf>
    <xf numFmtId="0" fontId="4" fillId="0" borderId="1" xfId="0" applyFont="1" applyBorder="1"/>
    <xf numFmtId="14" fontId="0" fillId="0" borderId="1" xfId="0" applyNumberForma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164" fontId="2" fillId="0" borderId="3" xfId="1" applyFont="1" applyBorder="1" applyAlignment="1">
      <alignment horizontal="right"/>
    </xf>
    <xf numFmtId="164" fontId="2" fillId="0" borderId="2" xfId="1" applyFont="1" applyBorder="1" applyAlignment="1">
      <alignment horizontal="right"/>
    </xf>
    <xf numFmtId="164" fontId="1" fillId="0" borderId="1" xfId="1" applyFont="1" applyBorder="1" applyAlignment="1">
      <alignment horizontal="right"/>
    </xf>
    <xf numFmtId="164" fontId="2" fillId="0" borderId="1" xfId="1" applyFont="1" applyBorder="1" applyAlignment="1">
      <alignment horizontal="right"/>
    </xf>
    <xf numFmtId="164" fontId="1" fillId="0" borderId="1" xfId="1" applyFont="1" applyBorder="1" applyAlignment="1">
      <alignment horizontal="left"/>
    </xf>
    <xf numFmtId="164" fontId="2" fillId="0" borderId="1" xfId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13" workbookViewId="0">
      <selection activeCell="G31" sqref="G31"/>
    </sheetView>
  </sheetViews>
  <sheetFormatPr defaultRowHeight="14.4" x14ac:dyDescent="0.3"/>
  <cols>
    <col min="1" max="1" width="5.21875" style="1" bestFit="1" customWidth="1"/>
    <col min="2" max="2" width="9.88671875" style="1" bestFit="1" customWidth="1"/>
    <col min="3" max="3" width="10.109375" style="1" bestFit="1" customWidth="1"/>
    <col min="4" max="4" width="19.21875" style="1" bestFit="1" customWidth="1"/>
    <col min="5" max="5" width="10.109375" style="1" bestFit="1" customWidth="1"/>
    <col min="6" max="6" width="40.88671875" style="1" bestFit="1" customWidth="1"/>
    <col min="7" max="7" width="36.6640625" style="1" bestFit="1" customWidth="1"/>
    <col min="8" max="8" width="13.5546875" style="17" bestFit="1" customWidth="1"/>
    <col min="9" max="9" width="13.109375" style="17" bestFit="1" customWidth="1"/>
    <col min="10" max="10" width="11.77734375" style="1" bestFit="1" customWidth="1"/>
    <col min="11" max="11" width="9.77734375" style="2" bestFit="1" customWidth="1"/>
    <col min="12" max="12" width="10.5546875" bestFit="1" customWidth="1"/>
  </cols>
  <sheetData>
    <row r="1" spans="1:12" s="8" customFormat="1" x14ac:dyDescent="0.3">
      <c r="A1" s="5" t="s">
        <v>0</v>
      </c>
      <c r="B1" s="5" t="s">
        <v>1</v>
      </c>
      <c r="C1" s="6"/>
      <c r="D1" s="5" t="s">
        <v>2</v>
      </c>
      <c r="E1" s="5" t="s">
        <v>3</v>
      </c>
      <c r="F1" s="6"/>
      <c r="G1" s="6"/>
      <c r="H1" s="15" t="s">
        <v>4</v>
      </c>
      <c r="I1" s="15" t="s">
        <v>5</v>
      </c>
      <c r="J1" s="6"/>
      <c r="K1" s="7"/>
      <c r="L1" s="11" t="s">
        <v>86</v>
      </c>
    </row>
    <row r="2" spans="1:12" s="8" customFormat="1" x14ac:dyDescent="0.3">
      <c r="A2" s="9" t="s">
        <v>6</v>
      </c>
      <c r="B2" s="9" t="s">
        <v>7</v>
      </c>
      <c r="C2" s="9" t="s">
        <v>8</v>
      </c>
      <c r="D2" s="9" t="s">
        <v>9</v>
      </c>
      <c r="E2" s="9" t="s">
        <v>8</v>
      </c>
      <c r="F2" s="9" t="s">
        <v>13</v>
      </c>
      <c r="G2" s="9" t="s">
        <v>12</v>
      </c>
      <c r="H2" s="16" t="s">
        <v>14</v>
      </c>
      <c r="I2" s="16" t="s">
        <v>14</v>
      </c>
      <c r="J2" s="9" t="s">
        <v>10</v>
      </c>
      <c r="K2" s="10" t="s">
        <v>11</v>
      </c>
      <c r="L2" s="11" t="s">
        <v>87</v>
      </c>
    </row>
    <row r="3" spans="1:12" x14ac:dyDescent="0.3">
      <c r="A3" s="3" t="s">
        <v>15</v>
      </c>
      <c r="B3" s="3" t="s">
        <v>31</v>
      </c>
      <c r="C3" s="4">
        <v>45583</v>
      </c>
      <c r="D3" s="3" t="s">
        <v>32</v>
      </c>
      <c r="E3" s="4">
        <v>45581</v>
      </c>
      <c r="F3" s="3" t="s">
        <v>34</v>
      </c>
      <c r="G3" s="3" t="s">
        <v>33</v>
      </c>
      <c r="H3" s="17">
        <v>588401</v>
      </c>
      <c r="I3" s="17">
        <v>587902</v>
      </c>
      <c r="J3" s="4">
        <v>45641</v>
      </c>
      <c r="K3" s="2">
        <v>60</v>
      </c>
      <c r="L3" s="12">
        <f t="shared" ref="L3:L14" si="0">E3+80</f>
        <v>45661</v>
      </c>
    </row>
    <row r="4" spans="1:12" x14ac:dyDescent="0.3">
      <c r="A4" s="3" t="s">
        <v>15</v>
      </c>
      <c r="B4" s="3" t="s">
        <v>27</v>
      </c>
      <c r="C4" s="4">
        <v>45583</v>
      </c>
      <c r="D4" s="3" t="s">
        <v>28</v>
      </c>
      <c r="E4" s="4">
        <v>45581</v>
      </c>
      <c r="F4" s="3" t="s">
        <v>30</v>
      </c>
      <c r="G4" s="3" t="s">
        <v>29</v>
      </c>
      <c r="H4" s="17">
        <v>388928</v>
      </c>
      <c r="I4" s="17">
        <v>388598</v>
      </c>
      <c r="J4" s="4">
        <v>45641</v>
      </c>
      <c r="K4" s="2">
        <v>60</v>
      </c>
      <c r="L4" s="12">
        <f t="shared" si="0"/>
        <v>45661</v>
      </c>
    </row>
    <row r="5" spans="1:12" x14ac:dyDescent="0.3">
      <c r="A5" s="3" t="s">
        <v>15</v>
      </c>
      <c r="B5" s="3" t="s">
        <v>35</v>
      </c>
      <c r="C5" s="4">
        <v>45583</v>
      </c>
      <c r="D5" s="3" t="s">
        <v>36</v>
      </c>
      <c r="E5" s="4">
        <v>45583</v>
      </c>
      <c r="F5" s="3" t="s">
        <v>38</v>
      </c>
      <c r="G5" s="3" t="s">
        <v>37</v>
      </c>
      <c r="H5" s="17">
        <v>182381</v>
      </c>
      <c r="I5" s="17">
        <v>182226</v>
      </c>
      <c r="J5" s="4">
        <v>45643</v>
      </c>
      <c r="K5" s="2">
        <v>60</v>
      </c>
      <c r="L5" s="12">
        <f t="shared" si="0"/>
        <v>45663</v>
      </c>
    </row>
    <row r="6" spans="1:12" x14ac:dyDescent="0.3">
      <c r="A6" s="3" t="s">
        <v>15</v>
      </c>
      <c r="B6" s="3" t="s">
        <v>43</v>
      </c>
      <c r="C6" s="4">
        <v>45587</v>
      </c>
      <c r="D6" s="3" t="s">
        <v>44</v>
      </c>
      <c r="E6" s="4">
        <v>45586</v>
      </c>
      <c r="F6" s="3" t="s">
        <v>46</v>
      </c>
      <c r="G6" s="3" t="s">
        <v>45</v>
      </c>
      <c r="H6" s="17">
        <v>86140</v>
      </c>
      <c r="I6" s="17">
        <v>86067</v>
      </c>
      <c r="J6" s="4">
        <v>45646</v>
      </c>
      <c r="K6" s="2">
        <v>60</v>
      </c>
      <c r="L6" s="12">
        <f t="shared" si="0"/>
        <v>45666</v>
      </c>
    </row>
    <row r="7" spans="1:12" x14ac:dyDescent="0.3">
      <c r="A7" s="3" t="s">
        <v>15</v>
      </c>
      <c r="B7" s="3" t="s">
        <v>39</v>
      </c>
      <c r="C7" s="4">
        <v>45587</v>
      </c>
      <c r="D7" s="3" t="s">
        <v>40</v>
      </c>
      <c r="E7" s="4">
        <v>45586</v>
      </c>
      <c r="F7" s="3" t="s">
        <v>42</v>
      </c>
      <c r="G7" s="3" t="s">
        <v>41</v>
      </c>
      <c r="H7" s="17">
        <v>87226</v>
      </c>
      <c r="I7" s="17">
        <v>87152</v>
      </c>
      <c r="J7" s="4">
        <v>45646</v>
      </c>
      <c r="K7" s="2">
        <v>60</v>
      </c>
      <c r="L7" s="12">
        <f t="shared" si="0"/>
        <v>45666</v>
      </c>
    </row>
    <row r="8" spans="1:12" x14ac:dyDescent="0.3">
      <c r="A8" s="3" t="s">
        <v>15</v>
      </c>
      <c r="B8" s="3" t="s">
        <v>47</v>
      </c>
      <c r="C8" s="4">
        <v>45588</v>
      </c>
      <c r="D8" s="3" t="s">
        <v>48</v>
      </c>
      <c r="E8" s="4">
        <v>45586</v>
      </c>
      <c r="F8" s="3" t="s">
        <v>25</v>
      </c>
      <c r="G8" s="3" t="s">
        <v>49</v>
      </c>
      <c r="H8" s="17">
        <v>152456</v>
      </c>
      <c r="I8" s="17">
        <v>152327</v>
      </c>
      <c r="J8" s="4">
        <v>45646</v>
      </c>
      <c r="K8" s="2">
        <v>60</v>
      </c>
      <c r="L8" s="12">
        <f t="shared" si="0"/>
        <v>45666</v>
      </c>
    </row>
    <row r="9" spans="1:12" x14ac:dyDescent="0.3">
      <c r="A9" s="3" t="s">
        <v>15</v>
      </c>
      <c r="B9" s="3" t="s">
        <v>20</v>
      </c>
      <c r="C9" s="4">
        <v>45589</v>
      </c>
      <c r="D9" s="3" t="s">
        <v>50</v>
      </c>
      <c r="E9" s="4">
        <v>45588</v>
      </c>
      <c r="F9" s="3" t="s">
        <v>52</v>
      </c>
      <c r="G9" s="3" t="s">
        <v>51</v>
      </c>
      <c r="H9" s="17">
        <v>413737</v>
      </c>
      <c r="I9" s="17">
        <v>413386</v>
      </c>
      <c r="J9" s="4">
        <v>45648</v>
      </c>
      <c r="K9" s="2">
        <v>60</v>
      </c>
      <c r="L9" s="12">
        <f t="shared" si="0"/>
        <v>45668</v>
      </c>
    </row>
    <row r="10" spans="1:12" x14ac:dyDescent="0.3">
      <c r="A10" s="3" t="s">
        <v>15</v>
      </c>
      <c r="B10" s="3" t="s">
        <v>53</v>
      </c>
      <c r="C10" s="4">
        <v>45590</v>
      </c>
      <c r="D10" s="3" t="s">
        <v>54</v>
      </c>
      <c r="E10" s="4">
        <v>45589</v>
      </c>
      <c r="F10" s="3" t="s">
        <v>30</v>
      </c>
      <c r="G10" s="3" t="s">
        <v>55</v>
      </c>
      <c r="H10" s="17">
        <v>95580</v>
      </c>
      <c r="I10" s="17">
        <v>95499</v>
      </c>
      <c r="J10" s="4">
        <v>45649</v>
      </c>
      <c r="K10" s="2">
        <v>60</v>
      </c>
      <c r="L10" s="12">
        <f t="shared" si="0"/>
        <v>45669</v>
      </c>
    </row>
    <row r="11" spans="1:12" x14ac:dyDescent="0.3">
      <c r="A11" s="3" t="s">
        <v>15</v>
      </c>
      <c r="B11" s="3" t="s">
        <v>56</v>
      </c>
      <c r="C11" s="4">
        <v>45591</v>
      </c>
      <c r="D11" s="3" t="s">
        <v>57</v>
      </c>
      <c r="E11" s="4">
        <v>45591</v>
      </c>
      <c r="F11" s="3" t="s">
        <v>59</v>
      </c>
      <c r="G11" s="3" t="s">
        <v>58</v>
      </c>
      <c r="H11" s="17">
        <v>338990</v>
      </c>
      <c r="I11" s="17">
        <v>338703</v>
      </c>
      <c r="J11" s="4">
        <v>45651</v>
      </c>
      <c r="K11" s="2">
        <v>60</v>
      </c>
      <c r="L11" s="12">
        <f t="shared" si="0"/>
        <v>45671</v>
      </c>
    </row>
    <row r="12" spans="1:12" x14ac:dyDescent="0.3">
      <c r="A12" s="3" t="s">
        <v>15</v>
      </c>
      <c r="B12" s="3" t="s">
        <v>60</v>
      </c>
      <c r="C12" s="4">
        <v>45591</v>
      </c>
      <c r="D12" s="3" t="s">
        <v>61</v>
      </c>
      <c r="E12" s="4">
        <v>45591</v>
      </c>
      <c r="F12" s="3" t="s">
        <v>30</v>
      </c>
      <c r="G12" s="3" t="s">
        <v>62</v>
      </c>
      <c r="H12" s="17">
        <v>452742</v>
      </c>
      <c r="I12" s="17">
        <v>452358</v>
      </c>
      <c r="J12" s="4">
        <v>45651</v>
      </c>
      <c r="K12" s="2">
        <v>60</v>
      </c>
      <c r="L12" s="12">
        <f t="shared" si="0"/>
        <v>45671</v>
      </c>
    </row>
    <row r="13" spans="1:12" x14ac:dyDescent="0.3">
      <c r="A13" s="3" t="s">
        <v>15</v>
      </c>
      <c r="B13" s="3" t="s">
        <v>66</v>
      </c>
      <c r="C13" s="4">
        <v>45600</v>
      </c>
      <c r="D13" s="3" t="s">
        <v>67</v>
      </c>
      <c r="E13" s="4">
        <v>45600</v>
      </c>
      <c r="F13" s="3" t="s">
        <v>69</v>
      </c>
      <c r="G13" s="3" t="s">
        <v>68</v>
      </c>
      <c r="H13" s="17">
        <v>16284</v>
      </c>
      <c r="I13" s="17">
        <v>16270</v>
      </c>
      <c r="J13" s="4">
        <v>45660</v>
      </c>
      <c r="K13" s="2">
        <v>60</v>
      </c>
      <c r="L13" s="12">
        <f t="shared" si="0"/>
        <v>45680</v>
      </c>
    </row>
    <row r="14" spans="1:12" x14ac:dyDescent="0.3">
      <c r="A14" s="3" t="s">
        <v>15</v>
      </c>
      <c r="B14" s="3" t="s">
        <v>74</v>
      </c>
      <c r="C14" s="4">
        <v>45607</v>
      </c>
      <c r="D14" s="3" t="s">
        <v>75</v>
      </c>
      <c r="E14" s="4">
        <v>45607</v>
      </c>
      <c r="F14" s="3" t="s">
        <v>77</v>
      </c>
      <c r="G14" s="3" t="s">
        <v>76</v>
      </c>
      <c r="H14" s="17">
        <v>75934</v>
      </c>
      <c r="I14" s="17">
        <v>75870</v>
      </c>
      <c r="J14" s="4">
        <v>45667</v>
      </c>
      <c r="K14" s="2">
        <v>60</v>
      </c>
      <c r="L14" s="12">
        <f t="shared" si="0"/>
        <v>45687</v>
      </c>
    </row>
    <row r="15" spans="1:12" x14ac:dyDescent="0.3">
      <c r="H15" s="18">
        <f>SUM(H3:H14)</f>
        <v>2878799</v>
      </c>
      <c r="I15" s="18">
        <f>SUM(I3:I14)</f>
        <v>2876358</v>
      </c>
      <c r="L15" s="13"/>
    </row>
    <row r="16" spans="1:12" ht="15" thickBot="1" x14ac:dyDescent="0.35">
      <c r="L16" s="13"/>
    </row>
    <row r="17" spans="1:11" s="8" customFormat="1" x14ac:dyDescent="0.3">
      <c r="A17" s="5" t="s">
        <v>0</v>
      </c>
      <c r="B17" s="5" t="s">
        <v>1</v>
      </c>
      <c r="C17" s="6"/>
      <c r="D17" s="5" t="s">
        <v>2</v>
      </c>
      <c r="E17" s="5" t="s">
        <v>3</v>
      </c>
      <c r="F17" s="6"/>
      <c r="G17" s="6"/>
      <c r="H17" s="15" t="s">
        <v>4</v>
      </c>
      <c r="I17" s="15" t="s">
        <v>5</v>
      </c>
      <c r="J17" s="6"/>
      <c r="K17" s="7"/>
    </row>
    <row r="18" spans="1:11" s="8" customFormat="1" x14ac:dyDescent="0.3">
      <c r="A18" s="9" t="s">
        <v>6</v>
      </c>
      <c r="B18" s="9" t="s">
        <v>7</v>
      </c>
      <c r="C18" s="9" t="s">
        <v>8</v>
      </c>
      <c r="D18" s="9" t="s">
        <v>9</v>
      </c>
      <c r="E18" s="9" t="s">
        <v>8</v>
      </c>
      <c r="F18" s="9" t="s">
        <v>13</v>
      </c>
      <c r="G18" s="9" t="s">
        <v>12</v>
      </c>
      <c r="H18" s="16" t="s">
        <v>14</v>
      </c>
      <c r="I18" s="16" t="s">
        <v>14</v>
      </c>
      <c r="J18" s="9" t="s">
        <v>10</v>
      </c>
      <c r="K18" s="10" t="s">
        <v>11</v>
      </c>
    </row>
    <row r="19" spans="1:11" x14ac:dyDescent="0.3">
      <c r="A19" s="3" t="s">
        <v>15</v>
      </c>
      <c r="B19" s="3" t="s">
        <v>16</v>
      </c>
      <c r="C19" s="4">
        <v>45140</v>
      </c>
      <c r="D19" s="3" t="s">
        <v>17</v>
      </c>
      <c r="E19" s="4">
        <v>45140</v>
      </c>
      <c r="F19" s="3" t="s">
        <v>19</v>
      </c>
      <c r="G19" s="3" t="s">
        <v>18</v>
      </c>
      <c r="H19" s="17">
        <v>2776492.8</v>
      </c>
      <c r="I19" s="17">
        <v>1074139.8</v>
      </c>
      <c r="J19" s="4">
        <v>45200</v>
      </c>
      <c r="K19" s="2">
        <v>60</v>
      </c>
    </row>
    <row r="20" spans="1:11" x14ac:dyDescent="0.3">
      <c r="A20" s="3" t="s">
        <v>15</v>
      </c>
      <c r="B20" s="3" t="s">
        <v>21</v>
      </c>
      <c r="C20" s="4">
        <v>45478</v>
      </c>
      <c r="D20" s="3" t="s">
        <v>22</v>
      </c>
      <c r="E20" s="4">
        <v>45469</v>
      </c>
      <c r="F20" s="3" t="s">
        <v>24</v>
      </c>
      <c r="G20" s="3" t="s">
        <v>23</v>
      </c>
      <c r="H20" s="17">
        <v>32450</v>
      </c>
      <c r="I20" s="17">
        <v>32422</v>
      </c>
      <c r="J20" s="4">
        <v>45499</v>
      </c>
      <c r="K20" s="2">
        <v>30</v>
      </c>
    </row>
    <row r="21" spans="1:11" x14ac:dyDescent="0.3">
      <c r="A21" s="3" t="s">
        <v>15</v>
      </c>
      <c r="B21" s="3" t="s">
        <v>63</v>
      </c>
      <c r="C21" s="4">
        <v>45632</v>
      </c>
      <c r="D21" s="3" t="s">
        <v>64</v>
      </c>
      <c r="E21" s="4">
        <v>45628</v>
      </c>
      <c r="F21" s="3" t="s">
        <v>26</v>
      </c>
      <c r="G21" s="3" t="s">
        <v>65</v>
      </c>
      <c r="H21" s="17">
        <v>12390</v>
      </c>
      <c r="I21" s="17">
        <v>12379</v>
      </c>
      <c r="J21" s="4">
        <v>45658</v>
      </c>
      <c r="K21" s="2">
        <v>30</v>
      </c>
    </row>
    <row r="22" spans="1:11" x14ac:dyDescent="0.3">
      <c r="A22" s="3" t="s">
        <v>15</v>
      </c>
      <c r="B22" s="3" t="s">
        <v>70</v>
      </c>
      <c r="C22" s="4">
        <v>45617</v>
      </c>
      <c r="D22" s="3" t="s">
        <v>71</v>
      </c>
      <c r="E22" s="4">
        <v>45616</v>
      </c>
      <c r="F22" s="3" t="s">
        <v>73</v>
      </c>
      <c r="G22" s="3" t="s">
        <v>72</v>
      </c>
      <c r="H22" s="17">
        <v>2583610</v>
      </c>
      <c r="I22" s="17">
        <v>2581420</v>
      </c>
      <c r="J22" s="4">
        <v>45661</v>
      </c>
      <c r="K22" s="2">
        <v>45</v>
      </c>
    </row>
    <row r="23" spans="1:11" x14ac:dyDescent="0.3">
      <c r="A23" s="3" t="s">
        <v>15</v>
      </c>
      <c r="B23" s="3" t="s">
        <v>78</v>
      </c>
      <c r="C23" s="4">
        <v>45612</v>
      </c>
      <c r="D23" s="3" t="s">
        <v>79</v>
      </c>
      <c r="E23" s="4">
        <v>45612</v>
      </c>
      <c r="F23" s="3" t="s">
        <v>81</v>
      </c>
      <c r="G23" s="3" t="s">
        <v>80</v>
      </c>
      <c r="H23" s="17">
        <v>171808</v>
      </c>
      <c r="I23" s="17">
        <v>171662</v>
      </c>
      <c r="J23" s="4">
        <v>45672</v>
      </c>
      <c r="K23" s="2">
        <v>60</v>
      </c>
    </row>
    <row r="24" spans="1:11" x14ac:dyDescent="0.3">
      <c r="A24" s="3" t="s">
        <v>15</v>
      </c>
      <c r="B24" s="3" t="s">
        <v>82</v>
      </c>
      <c r="C24" s="4">
        <v>45618</v>
      </c>
      <c r="D24" s="3" t="s">
        <v>83</v>
      </c>
      <c r="E24" s="4">
        <v>45618</v>
      </c>
      <c r="F24" s="3" t="s">
        <v>85</v>
      </c>
      <c r="G24" s="3" t="s">
        <v>84</v>
      </c>
      <c r="H24" s="17">
        <v>218064</v>
      </c>
      <c r="I24" s="17">
        <v>217879</v>
      </c>
      <c r="J24" s="4">
        <v>45678</v>
      </c>
      <c r="K24" s="2">
        <v>60</v>
      </c>
    </row>
    <row r="25" spans="1:11" x14ac:dyDescent="0.3">
      <c r="H25" s="18">
        <f>SUM(H19:H24)</f>
        <v>5794814.7999999998</v>
      </c>
      <c r="I25" s="18">
        <f>SUM(I19:I24)</f>
        <v>4089901.8</v>
      </c>
    </row>
    <row r="27" spans="1:11" x14ac:dyDescent="0.3">
      <c r="F27" s="14" t="s">
        <v>88</v>
      </c>
    </row>
    <row r="28" spans="1:11" x14ac:dyDescent="0.3">
      <c r="F28" s="1" t="s">
        <v>89</v>
      </c>
      <c r="G28" s="19">
        <f>I15</f>
        <v>2876358</v>
      </c>
    </row>
    <row r="29" spans="1:11" x14ac:dyDescent="0.3">
      <c r="F29" s="1" t="s">
        <v>90</v>
      </c>
      <c r="G29" s="19">
        <f>I25</f>
        <v>4089901.8</v>
      </c>
    </row>
    <row r="30" spans="1:11" x14ac:dyDescent="0.3">
      <c r="F30" s="14" t="s">
        <v>91</v>
      </c>
      <c r="G30" s="20">
        <f>G28+G29</f>
        <v>6966259.7999999998</v>
      </c>
    </row>
  </sheetData>
  <sortState xmlns:xlrd2="http://schemas.microsoft.com/office/spreadsheetml/2017/richdata2" ref="A19:L24">
    <sortCondition ref="J19:J24"/>
  </sortState>
  <printOptions horizontalCentered="1" verticalCentered="1"/>
  <pageMargins left="0" right="0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OUTFLOW - JAN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</dc:creator>
  <cp:lastModifiedBy>Megha S</cp:lastModifiedBy>
  <dcterms:created xsi:type="dcterms:W3CDTF">2025-01-01T10:40:54Z</dcterms:created>
  <dcterms:modified xsi:type="dcterms:W3CDTF">2025-01-01T12:06:23Z</dcterms:modified>
</cp:coreProperties>
</file>